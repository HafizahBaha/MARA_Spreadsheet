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f4e0daa8d158344/Activity/2026/Speaker Mara/Material/"/>
    </mc:Choice>
  </mc:AlternateContent>
  <xr:revisionPtr revIDLastSave="2" documentId="8_{51A59A30-9274-4DC1-AB52-7E434FC4D146}" xr6:coauthVersionLast="47" xr6:coauthVersionMax="47" xr10:uidLastSave="{BAC41913-2E06-41AC-8023-0969E8591D0D}"/>
  <bookViews>
    <workbookView xWindow="-108" yWindow="-108" windowWidth="23256" windowHeight="12456" firstSheet="1" activeTab="5" xr2:uid="{00000000-000D-0000-FFFF-FFFF00000000}"/>
  </bookViews>
  <sheets>
    <sheet name="1. CHART SELECTION GUIDE" sheetId="1" r:id="rId1"/>
    <sheet name="2. DATA SOURCE" sheetId="2" r:id="rId2"/>
    <sheet name="3. BASIC CHARTS" sheetId="3" r:id="rId3"/>
    <sheet name="4. FORMATTING CHARTS" sheetId="4" r:id="rId4"/>
    <sheet name="5. CF VISUALIZATION" sheetId="5" r:id="rId5"/>
    <sheet name="6. SPARKLINES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6" l="1"/>
  <c r="L6" i="6"/>
</calcChain>
</file>

<file path=xl/sharedStrings.xml><?xml version="1.0" encoding="utf-8"?>
<sst xmlns="http://schemas.openxmlformats.org/spreadsheetml/2006/main" count="385" uniqueCount="229">
  <si>
    <t>PANDUAN PEMILIHAN CARTA — BILA GUNA JENIS YANG MANA?</t>
  </si>
  <si>
    <t>Sesi 5A — Visualization: Chart Selection, Basic Charts, Formatting, CF, Sparklines | 2 Jam</t>
  </si>
  <si>
    <t>📌 PRINSIP ASAS: Carta yang betul menyampaikan mesej dengan lebih jelas. Carta yang salah mengelirukan audiens.</t>
  </si>
  <si>
    <t>Jenis Carta</t>
  </si>
  <si>
    <t>Bila Digunakan</t>
  </si>
  <si>
    <t>Contoh Konteks MRSM</t>
  </si>
  <si>
    <t>Jangan Guna Untuk</t>
  </si>
  <si>
    <t>Bar Chart (Palang)</t>
  </si>
  <si>
    <t>Bandingkan nilai antara kategori</t>
  </si>
  <si>
    <t>Purata markah 6 kelas, atau 8 subjek</t>
  </si>
  <si>
    <t>Trend masa atau bahagian keseluruhan</t>
  </si>
  <si>
    <t>Line Chart (Garis)</t>
  </si>
  <si>
    <t>Tunjukkan trend dari masa ke masa</t>
  </si>
  <si>
    <t>Prestasi kelas dari Sem 1 2022 hingga 2026</t>
  </si>
  <si>
    <t>Perbandingan antara kategori</t>
  </si>
  <si>
    <t>Pie Chart (Pai)</t>
  </si>
  <si>
    <t>Tunjukkan bahagian dari keseluruhan (%)</t>
  </si>
  <si>
    <t>Taburan gred A/B/C/D/E/F dalam satu kelas</t>
  </si>
  <si>
    <t>Data dengan banyak kategori (&gt;6)</t>
  </si>
  <si>
    <t>Scatter Plot</t>
  </si>
  <si>
    <t>Hubungan antara 2 pembolehubah</t>
  </si>
  <si>
    <t>Korelasi antara kehadiran dan markah</t>
  </si>
  <si>
    <t>Perbandingan kategori biasa</t>
  </si>
  <si>
    <t>Area Chart</t>
  </si>
  <si>
    <t>Trend dan jumlah kumulatif</t>
  </si>
  <si>
    <t>Trend jumlah kelulusan sepanjang tahun</t>
  </si>
  <si>
    <t>Perbandingan tepat antara nilai</t>
  </si>
  <si>
    <t>Donut Chart</t>
  </si>
  <si>
    <t>Seperti Pai tapi ada lubang tengah</t>
  </si>
  <si>
    <t>Taburan kelas dengan KPI di tengah</t>
  </si>
  <si>
    <t>Terlalu banyak segmen</t>
  </si>
  <si>
    <t>Column Chart</t>
  </si>
  <si>
    <t>Bar menegak — untuk perbandingan</t>
  </si>
  <si>
    <t>Markah 8 subjek untuk satu kelas</t>
  </si>
  <si>
    <t>Nama kategori yang panjang</t>
  </si>
  <si>
    <t>Sparklines</t>
  </si>
  <si>
    <t>Mini carta dalam sel — trend pantas</t>
  </si>
  <si>
    <t>Trend GPI pelajar sepanjang 5 sem dalam 1 sel</t>
  </si>
  <si>
    <t>Analisis terperinci</t>
  </si>
  <si>
    <t>DATA SUMBER UNTUK SEMUA CARTA — PURATA MARKAH MENGIKUT KELAS &amp; SUBJEK</t>
  </si>
  <si>
    <t>Pilih data dari helaian ini untuk bina carta | Sesi 5A</t>
  </si>
  <si>
    <t>📌 ARAHAN: Helaian ini adalah sumber data untuk semua latihan carta. Jangan edit data di sini — bina carta dari julat yang ditunjukkan.</t>
  </si>
  <si>
    <t>Kelas</t>
  </si>
  <si>
    <t>BM</t>
  </si>
  <si>
    <t>BI</t>
  </si>
  <si>
    <t>SEJ</t>
  </si>
  <si>
    <t>GEO</t>
  </si>
  <si>
    <t>PAI</t>
  </si>
  <si>
    <t>MM</t>
  </si>
  <si>
    <t>SC</t>
  </si>
  <si>
    <t>RBT</t>
  </si>
  <si>
    <t>Purata</t>
  </si>
  <si>
    <t>Ibnu Khaldun</t>
  </si>
  <si>
    <t>Ibnu Battuta</t>
  </si>
  <si>
    <t>Ibnu Sina</t>
  </si>
  <si>
    <t>Al-Faraby</t>
  </si>
  <si>
    <t>At-Tabari</t>
  </si>
  <si>
    <t>Al-Haizam</t>
  </si>
  <si>
    <t>TREND DATA — GPI PURATA MENGIKUT SEMESTER (KOHORT 2022-2026)</t>
  </si>
  <si>
    <t>SEM2 2022</t>
  </si>
  <si>
    <t>SEM1 2023</t>
  </si>
  <si>
    <t>SEM2 2023</t>
  </si>
  <si>
    <t>SEM1 2024</t>
  </si>
  <si>
    <t>SEM2 2024</t>
  </si>
  <si>
    <t>Trend</t>
  </si>
  <si>
    <t>↓ Perlu Perhatian</t>
  </si>
  <si>
    <t>↑ Baik</t>
  </si>
  <si>
    <t>CARTA ASAS: BAR, LINE &amp; PIE — BINA DARI AWAL</t>
  </si>
  <si>
    <t>Latihan 1: Pilih data &gt; Insert &gt; Chart &gt; pilih jenis | Sesi 5A — Basic Charts</t>
  </si>
  <si>
    <t>📌 LANGKAH: (1) Pilih data A5:I11  (2) Insert &gt; Chart  (3) Column Chart  (4) Tambah tajuk dan label paksi</t>
  </si>
  <si>
    <t>LANGKAH-LANGKAH MEMBINA CARTA BAR (COLUMN CHART)</t>
  </si>
  <si>
    <t>Langkah</t>
  </si>
  <si>
    <t>Arahan</t>
  </si>
  <si>
    <t>Detail</t>
  </si>
  <si>
    <t>1</t>
  </si>
  <si>
    <t>Pilih data</t>
  </si>
  <si>
    <t>Klik A5, tahan Shift, klik I11 (pilih semua data termasuk header)</t>
  </si>
  <si>
    <t>2</t>
  </si>
  <si>
    <t>Insert chart</t>
  </si>
  <si>
    <t>Klik Insert &gt; Chart (Excel) ATAU Insert &gt; Chart (Google Sheets)</t>
  </si>
  <si>
    <t>3</t>
  </si>
  <si>
    <t>Pilih jenis</t>
  </si>
  <si>
    <t>Pilih 'Column Chart' atau 'Bar Chart' dari chart editor</t>
  </si>
  <si>
    <t>4</t>
  </si>
  <si>
    <t>Tambah tajuk carta</t>
  </si>
  <si>
    <t>Chart Editor &gt; Customize &gt; Chart &amp; axis titles &gt; isi tajuk</t>
  </si>
  <si>
    <t>5</t>
  </si>
  <si>
    <t>Label paksi</t>
  </si>
  <si>
    <t>Horizontal axis title: 'Kelas' | Vertical axis title: 'Purata Markah (%)'</t>
  </si>
  <si>
    <t>6</t>
  </si>
  <si>
    <t>Warna berbeza</t>
  </si>
  <si>
    <t>Series &gt; klik setiap siri &gt; pilih warna berbeza untuk setiap kelas</t>
  </si>
  <si>
    <t>7</t>
  </si>
  <si>
    <t>Data labels</t>
  </si>
  <si>
    <t>Customize &gt; Series &gt; Data labels &gt; pilih 'Value'</t>
  </si>
  <si>
    <t>8</t>
  </si>
  <si>
    <t>Saiz carta</t>
  </si>
  <si>
    <t>Seret sudut carta untuk besarkan atau kecilkan mengikut keperluan</t>
  </si>
  <si>
    <t>PEMFORMATAN CARTA — DARI CARTA BIASA KEPADA CARTA PROFESIONAL</t>
  </si>
  <si>
    <t>Latihan 2: Tukar warna, tambah label, format paksi, tambah garis rujukan | Sesi 5A</t>
  </si>
  <si>
    <t>📌 ARAHAN: Buka carta yang dibina di helaian '3. BASIC CHARTS'. Ikut senarai semak di bawah untuk format carta menjadi profesional.</t>
  </si>
  <si>
    <t>✓</t>
  </si>
  <si>
    <t>Elemen</t>
  </si>
  <si>
    <t>Tujuan</t>
  </si>
  <si>
    <t>Cara Lakukan</t>
  </si>
  <si>
    <t>✅</t>
  </si>
  <si>
    <t>Tajuk carta</t>
  </si>
  <si>
    <t>Jelas dan deskriptif: 'Prestasi Pelajar Tingkatan 3 — Sem 1 2024'</t>
  </si>
  <si>
    <t>Chart Editor &gt; Customize &gt; Chart title</t>
  </si>
  <si>
    <t>Label paksi X</t>
  </si>
  <si>
    <t>Nama kelas atau subjek dengan jelas</t>
  </si>
  <si>
    <t>Chart title &gt; Horizontal axis title</t>
  </si>
  <si>
    <t>Label paksi Y</t>
  </si>
  <si>
    <t>Tambah unit: 'Purata Markah (%)'</t>
  </si>
  <si>
    <t>Chart title &gt; Vertical axis title</t>
  </si>
  <si>
    <t>Warna konsisten</t>
  </si>
  <si>
    <t>Setiap kelas/siri ada warna berbeza dan konsisten</t>
  </si>
  <si>
    <t>Series &gt; fill color</t>
  </si>
  <si>
    <t>Papar nilai di atas setiap bar</t>
  </si>
  <si>
    <t>Series &gt; Data labels &gt; On</t>
  </si>
  <si>
    <t>Legend</t>
  </si>
  <si>
    <t>Letak legend di bawah carta supaya tidak menghalang data</t>
  </si>
  <si>
    <t>Legend &gt; Position &gt; Bottom</t>
  </si>
  <si>
    <t>Gridlines</t>
  </si>
  <si>
    <t>Tukar gridlines kepada warna lebih terang (kelabu muda)</t>
  </si>
  <si>
    <t>Gridlines &gt; Major gridline color</t>
  </si>
  <si>
    <t>Garis rujukan</t>
  </si>
  <si>
    <t>Tambah garis purata sekolah untuk perbandingan</t>
  </si>
  <si>
    <t>Add reference line &gt; value: 70</t>
  </si>
  <si>
    <t>Font profesional</t>
  </si>
  <si>
    <t>Tukar semua teks kepada Arial atau Calibri 10pt</t>
  </si>
  <si>
    <t>Text style &gt; Font</t>
  </si>
  <si>
    <t>Saiz output</t>
  </si>
  <si>
    <t>Lebarkan carta untuk cetakan A4 landscape</t>
  </si>
  <si>
    <t>Resize &gt; approximately 24cm × 15cm</t>
  </si>
  <si>
    <t>CONDITIONAL FORMATTING — LAMPU ISYARAT &amp; ICON SETS</t>
  </si>
  <si>
    <t>📌 CF bukan sahaja untuk mewarnakan sel — ia boleh jadi visualisasi yang sangat berkesan tanpa membina carta. Icon sets dan data bars menggantikan carta bar!</t>
  </si>
  <si>
    <t>No. Maktab</t>
  </si>
  <si>
    <t>Nama Pelajar</t>
  </si>
  <si>
    <t>Gred</t>
  </si>
  <si>
    <t>NT221069</t>
  </si>
  <si>
    <t>ABDUL AZIZ BIN ABDUL HALIM CHONG</t>
  </si>
  <si>
    <t>C</t>
  </si>
  <si>
    <t>NT221098</t>
  </si>
  <si>
    <t>ADAM HARIS ZULQARNAIN BIN MOHD SHAHIR</t>
  </si>
  <si>
    <t>NT221051</t>
  </si>
  <si>
    <t>ADAM HARRIS BAHARIN BIN ABDUL HAKIM</t>
  </si>
  <si>
    <t>B</t>
  </si>
  <si>
    <t>NT221086</t>
  </si>
  <si>
    <t>AFRINA UMAIRAH BINTI KAMARUZAMAN</t>
  </si>
  <si>
    <t>NT221020</t>
  </si>
  <si>
    <t>AHMAD AR-RAYYAN BIN AHMAD AZHAR</t>
  </si>
  <si>
    <t>NT220106</t>
  </si>
  <si>
    <t>IRDINA BALQIS BINTI KAMARUDDIN</t>
  </si>
  <si>
    <t>NT220107</t>
  </si>
  <si>
    <t>RAYYAN ADIB BIN SAHRIL</t>
  </si>
  <si>
    <t>NT220108</t>
  </si>
  <si>
    <t>AISHAH HUMAIRA BINTI AZMAN</t>
  </si>
  <si>
    <t>NT220109</t>
  </si>
  <si>
    <t>SYAFIQ AMRI BIN JAMALUDIN</t>
  </si>
  <si>
    <t>NT220110</t>
  </si>
  <si>
    <t>AFIQAH ZULAIKHA BINTI RASHID</t>
  </si>
  <si>
    <t>A</t>
  </si>
  <si>
    <t>NT220111</t>
  </si>
  <si>
    <t>HARITH ZIKRY BIN KAMARUDDIN</t>
  </si>
  <si>
    <t>NT220112</t>
  </si>
  <si>
    <t>IZZAH SYAMIMI BINTI NORZAINI</t>
  </si>
  <si>
    <t>NT220113</t>
  </si>
  <si>
    <t>HARIZ AIMAN BIN AZMAN</t>
  </si>
  <si>
    <t>NT220114</t>
  </si>
  <si>
    <t>YASMIN ALIYA BINTI MANSOR</t>
  </si>
  <si>
    <t>NT220115</t>
  </si>
  <si>
    <t>AKMAL DANIAL BIN HASRUL</t>
  </si>
  <si>
    <t>NT220116</t>
  </si>
  <si>
    <t>BALQIS ATHIRAH BINTI ZULKIFLI</t>
  </si>
  <si>
    <t>NT220117</t>
  </si>
  <si>
    <t>AMSYAR DANI BIN SAHRIL</t>
  </si>
  <si>
    <t>NT220118</t>
  </si>
  <si>
    <t>NURFATIN ADILA BINTI SHARIFUDIN</t>
  </si>
  <si>
    <t>NT220119</t>
  </si>
  <si>
    <t>AIMAN HAKIM BIN KHAIRUL</t>
  </si>
  <si>
    <t>NT220120</t>
  </si>
  <si>
    <t>WARDAH NABILAH BINTI NORDIN</t>
  </si>
  <si>
    <t>NT220121</t>
  </si>
  <si>
    <t>HAFIY NAQIB BIN HASSAN</t>
  </si>
  <si>
    <t>NT220122</t>
  </si>
  <si>
    <t>SITI RAHMAH BINTI ZULKIFLI</t>
  </si>
  <si>
    <t>NT220123</t>
  </si>
  <si>
    <t>IKMAL HAZWAN BIN IBRAHIM</t>
  </si>
  <si>
    <t>NT220124</t>
  </si>
  <si>
    <t>FATIN IZZATI BINTI MANSOR</t>
  </si>
  <si>
    <t>NT220125</t>
  </si>
  <si>
    <t>LUQMAN HAKIM BIN RASHID</t>
  </si>
  <si>
    <t>JENIS CONDITIONAL FORMATTING YANG BERGUNA</t>
  </si>
  <si>
    <t>Jenis CF</t>
  </si>
  <si>
    <t>Kegunaan</t>
  </si>
  <si>
    <t>Cara Bina</t>
  </si>
  <si>
    <t>Kelebihan</t>
  </si>
  <si>
    <t>Color Scale</t>
  </si>
  <si>
    <t>Gradien warna dari merah-kuning-hijau</t>
  </si>
  <si>
    <t>Pilih markah &gt; Format &gt; CF &gt; Color scale &gt; Red-Yellow-Green</t>
  </si>
  <si>
    <t>Sangat visual, lihat taburan sekali imbas</t>
  </si>
  <si>
    <t>Data Bars</t>
  </si>
  <si>
    <t>Bar mini dalam sel seperti carta bar</t>
  </si>
  <si>
    <t>Pilih markah &gt; Format &gt; CF &gt; Data bars</t>
  </si>
  <si>
    <t>Gantikan carta bar untuk perbandingan cepat</t>
  </si>
  <si>
    <t>Icon Sets</t>
  </si>
  <si>
    <t>Ikon ↑↓→ atau bintang dalam sel</t>
  </si>
  <si>
    <t>Pilih markah &gt; Format &gt; CF &gt; Icon sets &gt; 3 arrows</t>
  </si>
  <si>
    <t>Mudah dibaca dari jauh dalam mesyuarat</t>
  </si>
  <si>
    <t>Top/Bottom 10%</t>
  </si>
  <si>
    <t>Sorotan pelajar terbaik/perlukan bantuan</t>
  </si>
  <si>
    <t>Format &gt; CF &gt; Top 10 items / Bottom 10 items</t>
  </si>
  <si>
    <t>Cepat kenal pasti pelajar perlu perhatian</t>
  </si>
  <si>
    <t>Custom Formula</t>
  </si>
  <si>
    <t>Formula untuk syarat lebih kompleks</t>
  </si>
  <si>
    <t>Untuk syarat gabungan seperti gagal ≥3 subjek</t>
  </si>
  <si>
    <t>SPARKLINES — CARTA MINI DALAM SEL UNTUK TREND PANTAS</t>
  </si>
  <si>
    <t>Latihan 4: Bina sparklines untuk trend GPI pelajar merentasi 5 semester | Sesi 5A</t>
  </si>
  <si>
    <t>📌 SPARKLINES ialah carta mini yang muat dalam SATU SEL. Sangat berguna untuk laporan kompak — lihat trend tanpa keluar dari jadual.</t>
  </si>
  <si>
    <t>SEM2
2022</t>
  </si>
  <si>
    <t>SEM1
2023</t>
  </si>
  <si>
    <t>SEM2
2023</t>
  </si>
  <si>
    <t>SEM1
2024</t>
  </si>
  <si>
    <t>SEM2
2024</t>
  </si>
  <si>
    <t>TREND (Sparkline)</t>
  </si>
  <si>
    <t>TREND (Column)</t>
  </si>
  <si>
    <t xml:space="preserve">Perbandingan individu </t>
  </si>
  <si>
    <t>Perbandingan Purata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</si>
</sst>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5"/>
      <name val="Arial"/>
    </font>
    <font>
      <b/>
      <sz val="9"/>
      <color rgb="FF663300"/>
      <name val="Arial"/>
    </font>
    <font>
      <b/>
      <sz val="9"/>
      <color rgb="FFFFFFFF"/>
      <name val="Arial"/>
    </font>
    <font>
      <sz val="9"/>
      <color rgb="FF1A1A1A"/>
      <name val="Arial"/>
    </font>
    <font>
      <b/>
      <sz val="9"/>
      <color rgb="FF1A1A1A"/>
      <name val="Arial"/>
    </font>
    <font>
      <b/>
      <sz val="10"/>
      <color rgb="FFFFFFFF"/>
      <name val="Arial"/>
    </font>
    <font>
      <b/>
      <sz val="9"/>
      <color rgb="FFCC0000"/>
      <name val="Arial"/>
    </font>
    <font>
      <b/>
      <sz val="9"/>
      <color rgb="FF666666"/>
      <name val="Arial"/>
    </font>
    <font>
      <b/>
      <sz val="9"/>
      <color rgb="FF009900"/>
      <name val="Arial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3C1D"/>
      </patternFill>
    </fill>
    <fill>
      <patternFill patternType="solid">
        <fgColor rgb="FFF5F5F5"/>
      </patternFill>
    </fill>
    <fill>
      <patternFill patternType="solid">
        <fgColor rgb="FFFFF3CD"/>
      </patternFill>
    </fill>
    <fill>
      <patternFill patternType="solid">
        <fgColor rgb="FFF0D4CC"/>
      </patternFill>
    </fill>
    <fill>
      <patternFill patternType="solid">
        <fgColor rgb="FFFFF8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6" borderId="1" xfId="0" applyFont="1" applyFill="1" applyBorder="1"/>
    <xf numFmtId="0" fontId="5" fillId="6" borderId="1" xfId="0" applyFont="1" applyFill="1" applyBorder="1"/>
    <xf numFmtId="0" fontId="0" fillId="7" borderId="1" xfId="0" applyFill="1" applyBorder="1" applyAlignment="1">
      <alignment horizontal="center" vertical="center"/>
    </xf>
    <xf numFmtId="0" fontId="6" fillId="7" borderId="1" xfId="0" applyFont="1" applyFill="1" applyBorder="1"/>
    <xf numFmtId="0" fontId="5" fillId="7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999999"/>
        </left>
        <right style="medium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top style="thin">
          <color rgb="FFCCCCCC"/>
        </top>
      </border>
    </dxf>
    <dxf>
      <border outline="0">
        <bottom style="medium">
          <color rgb="FF999999"/>
        </bottom>
      </border>
    </dxf>
    <dxf>
      <border outline="0">
        <top style="medium">
          <color rgb="FF999999"/>
        </top>
        <bottom style="thin">
          <color rgb="FFCCCCCC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593E1-44B1-4EDD-90C6-76CCB3EF55DA}" name="Table1" displayName="Table1" ref="A5:D13" totalsRowShown="0" headerRowDxfId="1" dataDxfId="0" headerRowBorderDxfId="7" tableBorderDxfId="8" totalsRowBorderDxfId="6">
  <autoFilter ref="A5:D13" xr:uid="{FCC593E1-44B1-4EDD-90C6-76CCB3EF55DA}"/>
  <tableColumns count="4">
    <tableColumn id="1" xr3:uid="{553BE250-48BF-4019-A967-C84CC9F9BF93}" name="Jenis Carta" dataDxfId="5"/>
    <tableColumn id="2" xr3:uid="{BB3EB806-847C-4A40-86DC-18627564A27E}" name="Bila Digunakan" dataDxfId="4"/>
    <tableColumn id="3" xr3:uid="{A326C2F4-1923-465A-BF4C-07386D4EE452}" name="Contoh Konteks MRSM" dataDxfId="3"/>
    <tableColumn id="4" xr3:uid="{C136D53D-76DC-4CA5-9626-8FA95BA2DE56}" name="Jangan Guna Untuk" dataDxfId="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workbookViewId="0">
      <selection activeCell="A5" sqref="A5:D13"/>
    </sheetView>
  </sheetViews>
  <sheetFormatPr defaultRowHeight="14.4" x14ac:dyDescent="0.3"/>
  <cols>
    <col min="1" max="1" width="22" customWidth="1"/>
    <col min="2" max="3" width="35" customWidth="1"/>
    <col min="4" max="4" width="28" customWidth="1"/>
  </cols>
  <sheetData>
    <row r="1" spans="1:12" ht="25.95" customHeight="1" x14ac:dyDescent="0.3">
      <c r="A1" s="22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3.95" customHeight="1" x14ac:dyDescent="0.3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6.05" customHeight="1" x14ac:dyDescent="0.3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5" spans="1:12" ht="19.95" customHeight="1" thickBot="1" x14ac:dyDescent="0.35">
      <c r="A5" s="24" t="s">
        <v>3</v>
      </c>
      <c r="B5" s="24" t="s">
        <v>4</v>
      </c>
      <c r="C5" s="24" t="s">
        <v>5</v>
      </c>
      <c r="D5" s="24" t="s">
        <v>6</v>
      </c>
    </row>
    <row r="6" spans="1:12" ht="28.05" customHeight="1" x14ac:dyDescent="0.3">
      <c r="A6" s="25" t="s">
        <v>7</v>
      </c>
      <c r="B6" s="25" t="s">
        <v>8</v>
      </c>
      <c r="C6" s="25" t="s">
        <v>9</v>
      </c>
      <c r="D6" s="25" t="s">
        <v>10</v>
      </c>
    </row>
    <row r="7" spans="1:12" ht="28.05" customHeight="1" x14ac:dyDescent="0.3">
      <c r="A7" s="25" t="s">
        <v>11</v>
      </c>
      <c r="B7" s="25" t="s">
        <v>12</v>
      </c>
      <c r="C7" s="25" t="s">
        <v>13</v>
      </c>
      <c r="D7" s="25" t="s">
        <v>14</v>
      </c>
    </row>
    <row r="8" spans="1:12" ht="28.05" customHeight="1" x14ac:dyDescent="0.3">
      <c r="A8" s="25" t="s">
        <v>15</v>
      </c>
      <c r="B8" s="25" t="s">
        <v>16</v>
      </c>
      <c r="C8" s="25" t="s">
        <v>17</v>
      </c>
      <c r="D8" s="25" t="s">
        <v>18</v>
      </c>
    </row>
    <row r="9" spans="1:12" ht="28.05" customHeight="1" x14ac:dyDescent="0.3">
      <c r="A9" s="25" t="s">
        <v>19</v>
      </c>
      <c r="B9" s="25" t="s">
        <v>20</v>
      </c>
      <c r="C9" s="25" t="s">
        <v>21</v>
      </c>
      <c r="D9" s="25" t="s">
        <v>22</v>
      </c>
    </row>
    <row r="10" spans="1:12" ht="28.05" customHeight="1" x14ac:dyDescent="0.3">
      <c r="A10" s="25" t="s">
        <v>23</v>
      </c>
      <c r="B10" s="25" t="s">
        <v>24</v>
      </c>
      <c r="C10" s="25" t="s">
        <v>25</v>
      </c>
      <c r="D10" s="25" t="s">
        <v>26</v>
      </c>
    </row>
    <row r="11" spans="1:12" ht="28.05" customHeight="1" x14ac:dyDescent="0.3">
      <c r="A11" s="25" t="s">
        <v>27</v>
      </c>
      <c r="B11" s="25" t="s">
        <v>28</v>
      </c>
      <c r="C11" s="25" t="s">
        <v>29</v>
      </c>
      <c r="D11" s="25" t="s">
        <v>30</v>
      </c>
    </row>
    <row r="12" spans="1:12" ht="28.05" customHeight="1" x14ac:dyDescent="0.3">
      <c r="A12" s="25" t="s">
        <v>31</v>
      </c>
      <c r="B12" s="25" t="s">
        <v>32</v>
      </c>
      <c r="C12" s="25" t="s">
        <v>33</v>
      </c>
      <c r="D12" s="25" t="s">
        <v>34</v>
      </c>
    </row>
    <row r="13" spans="1:12" ht="28.05" customHeight="1" x14ac:dyDescent="0.3">
      <c r="A13" s="26" t="s">
        <v>35</v>
      </c>
      <c r="B13" s="26" t="s">
        <v>36</v>
      </c>
      <c r="C13" s="26" t="s">
        <v>37</v>
      </c>
      <c r="D13" s="26" t="s">
        <v>38</v>
      </c>
    </row>
  </sheetData>
  <mergeCells count="3">
    <mergeCell ref="A3:L3"/>
    <mergeCell ref="A2:L2"/>
    <mergeCell ref="A1:L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selection activeCell="G21" sqref="G21"/>
    </sheetView>
  </sheetViews>
  <sheetFormatPr defaultRowHeight="14.4" x14ac:dyDescent="0.3"/>
  <cols>
    <col min="1" max="1" width="18" customWidth="1"/>
    <col min="2" max="7" width="14" customWidth="1"/>
    <col min="8" max="10" width="12" customWidth="1"/>
  </cols>
  <sheetData>
    <row r="1" spans="1:10" ht="25.95" customHeight="1" x14ac:dyDescent="0.3">
      <c r="A1" s="22" t="s">
        <v>39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3.95" customHeight="1" x14ac:dyDescent="0.3">
      <c r="A2" s="21" t="s">
        <v>40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16.05" customHeight="1" x14ac:dyDescent="0.3">
      <c r="A3" s="19" t="s">
        <v>41</v>
      </c>
      <c r="B3" s="20"/>
      <c r="C3" s="20"/>
      <c r="D3" s="20"/>
      <c r="E3" s="20"/>
      <c r="F3" s="20"/>
      <c r="G3" s="20"/>
      <c r="H3" s="20"/>
      <c r="I3" s="20"/>
      <c r="J3" s="20"/>
    </row>
    <row r="5" spans="1:10" ht="19.95" customHeight="1" x14ac:dyDescent="0.3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51</v>
      </c>
    </row>
    <row r="6" spans="1:10" x14ac:dyDescent="0.3">
      <c r="A6" s="4" t="s">
        <v>52</v>
      </c>
      <c r="B6" s="5">
        <v>73.7</v>
      </c>
      <c r="C6" s="5">
        <v>73.8</v>
      </c>
      <c r="D6" s="5">
        <v>68.099999999999994</v>
      </c>
      <c r="E6" s="5">
        <v>68.8</v>
      </c>
      <c r="F6" s="5">
        <v>71.599999999999994</v>
      </c>
      <c r="G6" s="5">
        <v>67.8</v>
      </c>
      <c r="H6" s="5">
        <v>73.7</v>
      </c>
      <c r="I6" s="5">
        <v>75</v>
      </c>
      <c r="J6" s="5">
        <v>71.599999999999994</v>
      </c>
    </row>
    <row r="7" spans="1:10" x14ac:dyDescent="0.3">
      <c r="A7" s="6" t="s">
        <v>53</v>
      </c>
      <c r="B7" s="7">
        <v>71.3</v>
      </c>
      <c r="C7" s="7">
        <v>67.599999999999994</v>
      </c>
      <c r="D7" s="7">
        <v>76</v>
      </c>
      <c r="E7" s="7">
        <v>67.3</v>
      </c>
      <c r="F7" s="7">
        <v>76.8</v>
      </c>
      <c r="G7" s="7">
        <v>66.8</v>
      </c>
      <c r="H7" s="7">
        <v>67</v>
      </c>
      <c r="I7" s="7">
        <v>69</v>
      </c>
      <c r="J7" s="7">
        <v>70.2</v>
      </c>
    </row>
    <row r="8" spans="1:10" x14ac:dyDescent="0.3">
      <c r="A8" s="4" t="s">
        <v>54</v>
      </c>
      <c r="B8" s="5">
        <v>67.5</v>
      </c>
      <c r="C8" s="5">
        <v>71.8</v>
      </c>
      <c r="D8" s="5">
        <v>68.2</v>
      </c>
      <c r="E8" s="5">
        <v>69.900000000000006</v>
      </c>
      <c r="F8" s="5">
        <v>67.900000000000006</v>
      </c>
      <c r="G8" s="5">
        <v>68.400000000000006</v>
      </c>
      <c r="H8" s="5">
        <v>66.8</v>
      </c>
      <c r="I8" s="5">
        <v>69.7</v>
      </c>
      <c r="J8" s="5">
        <v>68.8</v>
      </c>
    </row>
    <row r="9" spans="1:10" x14ac:dyDescent="0.3">
      <c r="A9" s="6" t="s">
        <v>55</v>
      </c>
      <c r="B9" s="7">
        <v>73</v>
      </c>
      <c r="C9" s="7">
        <v>68.900000000000006</v>
      </c>
      <c r="D9" s="7">
        <v>62.9</v>
      </c>
      <c r="E9" s="7">
        <v>68.900000000000006</v>
      </c>
      <c r="F9" s="7">
        <v>66.3</v>
      </c>
      <c r="G9" s="7">
        <v>70.2</v>
      </c>
      <c r="H9" s="7">
        <v>68.2</v>
      </c>
      <c r="I9" s="7">
        <v>70</v>
      </c>
      <c r="J9" s="7">
        <v>68.5</v>
      </c>
    </row>
    <row r="10" spans="1:10" x14ac:dyDescent="0.3">
      <c r="A10" s="4" t="s">
        <v>56</v>
      </c>
      <c r="B10" s="5">
        <v>67.8</v>
      </c>
      <c r="C10" s="5">
        <v>68</v>
      </c>
      <c r="D10" s="5">
        <v>75.8</v>
      </c>
      <c r="E10" s="5">
        <v>71.8</v>
      </c>
      <c r="F10" s="5">
        <v>71.8</v>
      </c>
      <c r="G10" s="5">
        <v>76.8</v>
      </c>
      <c r="H10" s="5">
        <v>70.599999999999994</v>
      </c>
      <c r="I10" s="5">
        <v>67</v>
      </c>
      <c r="J10" s="5">
        <v>71.2</v>
      </c>
    </row>
    <row r="11" spans="1:10" x14ac:dyDescent="0.3">
      <c r="A11" s="6" t="s">
        <v>57</v>
      </c>
      <c r="B11" s="7">
        <v>73.900000000000006</v>
      </c>
      <c r="C11" s="7">
        <v>69.900000000000006</v>
      </c>
      <c r="D11" s="7">
        <v>67.3</v>
      </c>
      <c r="E11" s="7">
        <v>72.5</v>
      </c>
      <c r="F11" s="7">
        <v>66.7</v>
      </c>
      <c r="G11" s="7">
        <v>68.400000000000006</v>
      </c>
      <c r="H11" s="7">
        <v>68</v>
      </c>
      <c r="I11" s="7">
        <v>72.7</v>
      </c>
      <c r="J11" s="7">
        <v>69.900000000000006</v>
      </c>
    </row>
    <row r="14" spans="1:10" ht="18" customHeight="1" x14ac:dyDescent="0.3">
      <c r="A14" s="23" t="s">
        <v>58</v>
      </c>
      <c r="B14" s="20"/>
      <c r="C14" s="20"/>
      <c r="D14" s="20"/>
      <c r="E14" s="20"/>
      <c r="F14" s="20"/>
      <c r="G14" s="20"/>
      <c r="H14" s="20"/>
      <c r="I14" s="20"/>
      <c r="J14" s="20"/>
    </row>
    <row r="15" spans="1:10" ht="19.95" customHeight="1" x14ac:dyDescent="0.3">
      <c r="A15" s="1" t="s">
        <v>42</v>
      </c>
      <c r="B15" s="1" t="s">
        <v>59</v>
      </c>
      <c r="C15" s="1" t="s">
        <v>60</v>
      </c>
      <c r="D15" s="1" t="s">
        <v>61</v>
      </c>
      <c r="E15" s="1" t="s">
        <v>62</v>
      </c>
      <c r="F15" s="1" t="s">
        <v>63</v>
      </c>
      <c r="G15" s="1" t="s">
        <v>64</v>
      </c>
    </row>
    <row r="16" spans="1:10" x14ac:dyDescent="0.3">
      <c r="A16" s="4" t="s">
        <v>52</v>
      </c>
      <c r="B16" s="5">
        <v>1.74</v>
      </c>
      <c r="C16" s="5">
        <v>1.73</v>
      </c>
      <c r="D16" s="5">
        <v>1.73</v>
      </c>
      <c r="E16" s="5">
        <v>1.71</v>
      </c>
      <c r="F16" s="5">
        <v>2.64</v>
      </c>
      <c r="G16" s="5" t="s">
        <v>65</v>
      </c>
    </row>
    <row r="17" spans="1:7" x14ac:dyDescent="0.3">
      <c r="A17" s="6" t="s">
        <v>53</v>
      </c>
      <c r="B17" s="7">
        <v>1.83</v>
      </c>
      <c r="C17" s="7">
        <v>1.8</v>
      </c>
      <c r="D17" s="7">
        <v>1.77</v>
      </c>
      <c r="E17" s="7">
        <v>1.79</v>
      </c>
      <c r="F17" s="7">
        <v>1.52</v>
      </c>
      <c r="G17" s="7" t="s">
        <v>66</v>
      </c>
    </row>
    <row r="18" spans="1:7" x14ac:dyDescent="0.3">
      <c r="A18" s="4" t="s">
        <v>54</v>
      </c>
      <c r="B18" s="5">
        <v>1.83</v>
      </c>
      <c r="C18" s="5">
        <v>1.88</v>
      </c>
      <c r="D18" s="5">
        <v>1.77</v>
      </c>
      <c r="E18" s="5">
        <v>1.81</v>
      </c>
      <c r="F18" s="5">
        <v>2.75</v>
      </c>
      <c r="G18" s="5" t="s">
        <v>65</v>
      </c>
    </row>
    <row r="19" spans="1:7" x14ac:dyDescent="0.3">
      <c r="A19" s="6" t="s">
        <v>55</v>
      </c>
      <c r="B19" s="7">
        <v>1.85</v>
      </c>
      <c r="C19" s="7">
        <v>1.83</v>
      </c>
      <c r="D19" s="7">
        <v>1.86</v>
      </c>
      <c r="E19" s="7">
        <v>1.84</v>
      </c>
      <c r="F19" s="7">
        <v>2.4500000000000002</v>
      </c>
      <c r="G19" s="7" t="s">
        <v>65</v>
      </c>
    </row>
    <row r="20" spans="1:7" x14ac:dyDescent="0.3">
      <c r="A20" s="4" t="s">
        <v>56</v>
      </c>
      <c r="B20" s="5">
        <v>1.76</v>
      </c>
      <c r="C20" s="5">
        <v>1.79</v>
      </c>
      <c r="D20" s="5">
        <v>1.79</v>
      </c>
      <c r="E20" s="5">
        <v>1.77</v>
      </c>
      <c r="F20" s="5">
        <v>2.67</v>
      </c>
      <c r="G20" s="5" t="s">
        <v>65</v>
      </c>
    </row>
    <row r="21" spans="1:7" x14ac:dyDescent="0.3">
      <c r="A21" s="6" t="s">
        <v>57</v>
      </c>
      <c r="B21" s="7">
        <v>1.79</v>
      </c>
      <c r="C21" s="7">
        <v>1.79</v>
      </c>
      <c r="D21" s="7">
        <v>1.8</v>
      </c>
      <c r="E21" s="7">
        <v>1.78</v>
      </c>
      <c r="F21" s="7">
        <v>1.56</v>
      </c>
      <c r="G21" s="7" t="s">
        <v>66</v>
      </c>
    </row>
  </sheetData>
  <mergeCells count="4">
    <mergeCell ref="A1:J1"/>
    <mergeCell ref="A14:J14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1"/>
  <sheetViews>
    <sheetView workbookViewId="0">
      <selection activeCell="C6" sqref="C6"/>
    </sheetView>
  </sheetViews>
  <sheetFormatPr defaultRowHeight="14.4" x14ac:dyDescent="0.3"/>
  <cols>
    <col min="1" max="1" width="10" customWidth="1"/>
    <col min="2" max="2" width="20" customWidth="1"/>
    <col min="3" max="3" width="52" customWidth="1"/>
    <col min="4" max="10" width="12" customWidth="1"/>
  </cols>
  <sheetData>
    <row r="1" spans="1:12" ht="25.95" customHeight="1" x14ac:dyDescent="0.3">
      <c r="A1" s="22" t="s">
        <v>67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3.95" customHeight="1" x14ac:dyDescent="0.3">
      <c r="A2" s="21" t="s">
        <v>68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6.05" customHeight="1" x14ac:dyDescent="0.3">
      <c r="A3" s="19" t="s">
        <v>69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5" spans="1:12" ht="19.95" customHeight="1" x14ac:dyDescent="0.3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51</v>
      </c>
    </row>
    <row r="6" spans="1:12" x14ac:dyDescent="0.3">
      <c r="A6" s="4" t="s">
        <v>52</v>
      </c>
      <c r="B6" s="5">
        <v>73.7</v>
      </c>
      <c r="C6" s="5">
        <v>73.8</v>
      </c>
      <c r="D6" s="5">
        <v>68.099999999999994</v>
      </c>
      <c r="E6" s="5">
        <v>68.8</v>
      </c>
      <c r="F6" s="5">
        <v>71.599999999999994</v>
      </c>
      <c r="G6" s="5">
        <v>67.8</v>
      </c>
      <c r="H6" s="5">
        <v>73.7</v>
      </c>
      <c r="I6" s="5">
        <v>75</v>
      </c>
      <c r="J6" s="5">
        <v>71.599999999999994</v>
      </c>
    </row>
    <row r="7" spans="1:12" x14ac:dyDescent="0.3">
      <c r="A7" s="6" t="s">
        <v>53</v>
      </c>
      <c r="B7" s="7">
        <v>71.3</v>
      </c>
      <c r="C7" s="7">
        <v>67.599999999999994</v>
      </c>
      <c r="D7" s="7">
        <v>76</v>
      </c>
      <c r="E7" s="7">
        <v>67.3</v>
      </c>
      <c r="F7" s="7">
        <v>76.8</v>
      </c>
      <c r="G7" s="7">
        <v>66.8</v>
      </c>
      <c r="H7" s="7">
        <v>67</v>
      </c>
      <c r="I7" s="7">
        <v>69</v>
      </c>
      <c r="J7" s="7">
        <v>70.2</v>
      </c>
    </row>
    <row r="8" spans="1:12" x14ac:dyDescent="0.3">
      <c r="A8" s="4" t="s">
        <v>54</v>
      </c>
      <c r="B8" s="5">
        <v>67.5</v>
      </c>
      <c r="C8" s="5">
        <v>71.8</v>
      </c>
      <c r="D8" s="5">
        <v>68.2</v>
      </c>
      <c r="E8" s="5">
        <v>69.900000000000006</v>
      </c>
      <c r="F8" s="5">
        <v>67.900000000000006</v>
      </c>
      <c r="G8" s="5">
        <v>68.400000000000006</v>
      </c>
      <c r="H8" s="5">
        <v>66.8</v>
      </c>
      <c r="I8" s="5">
        <v>69.7</v>
      </c>
      <c r="J8" s="5">
        <v>68.8</v>
      </c>
    </row>
    <row r="9" spans="1:12" x14ac:dyDescent="0.3">
      <c r="A9" s="6" t="s">
        <v>55</v>
      </c>
      <c r="B9" s="7">
        <v>73</v>
      </c>
      <c r="C9" s="7">
        <v>68.900000000000006</v>
      </c>
      <c r="D9" s="7">
        <v>62.9</v>
      </c>
      <c r="E9" s="7">
        <v>68.900000000000006</v>
      </c>
      <c r="F9" s="7">
        <v>66.3</v>
      </c>
      <c r="G9" s="7">
        <v>70.2</v>
      </c>
      <c r="H9" s="7">
        <v>68.2</v>
      </c>
      <c r="I9" s="7">
        <v>70</v>
      </c>
      <c r="J9" s="7">
        <v>68.5</v>
      </c>
    </row>
    <row r="10" spans="1:12" x14ac:dyDescent="0.3">
      <c r="A10" s="4" t="s">
        <v>56</v>
      </c>
      <c r="B10" s="5">
        <v>67.8</v>
      </c>
      <c r="C10" s="5">
        <v>68</v>
      </c>
      <c r="D10" s="5">
        <v>75.8</v>
      </c>
      <c r="E10" s="5">
        <v>71.8</v>
      </c>
      <c r="F10" s="5">
        <v>71.8</v>
      </c>
      <c r="G10" s="5">
        <v>76.8</v>
      </c>
      <c r="H10" s="5">
        <v>70.599999999999994</v>
      </c>
      <c r="I10" s="5">
        <v>67</v>
      </c>
      <c r="J10" s="5">
        <v>71.2</v>
      </c>
    </row>
    <row r="11" spans="1:12" x14ac:dyDescent="0.3">
      <c r="A11" s="6" t="s">
        <v>57</v>
      </c>
      <c r="B11" s="7">
        <v>73.900000000000006</v>
      </c>
      <c r="C11" s="7">
        <v>69.900000000000006</v>
      </c>
      <c r="D11" s="7">
        <v>67.3</v>
      </c>
      <c r="E11" s="7">
        <v>72.5</v>
      </c>
      <c r="F11" s="7">
        <v>66.7</v>
      </c>
      <c r="G11" s="7">
        <v>68.400000000000006</v>
      </c>
      <c r="H11" s="7">
        <v>68</v>
      </c>
      <c r="I11" s="7">
        <v>72.7</v>
      </c>
      <c r="J11" s="7">
        <v>69.900000000000006</v>
      </c>
    </row>
    <row r="32" spans="1:12" ht="18" customHeight="1" x14ac:dyDescent="0.3">
      <c r="A32" s="23" t="s">
        <v>70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spans="1:3" ht="19.95" customHeight="1" x14ac:dyDescent="0.3">
      <c r="A33" s="1" t="s">
        <v>71</v>
      </c>
      <c r="B33" s="1" t="s">
        <v>72</v>
      </c>
      <c r="C33" s="1" t="s">
        <v>73</v>
      </c>
    </row>
    <row r="34" spans="1:3" x14ac:dyDescent="0.3">
      <c r="A34" s="8" t="s">
        <v>74</v>
      </c>
      <c r="B34" s="9" t="s">
        <v>75</v>
      </c>
      <c r="C34" s="10" t="s">
        <v>76</v>
      </c>
    </row>
    <row r="35" spans="1:3" x14ac:dyDescent="0.3">
      <c r="A35" s="11" t="s">
        <v>77</v>
      </c>
      <c r="B35" s="12" t="s">
        <v>78</v>
      </c>
      <c r="C35" s="13" t="s">
        <v>79</v>
      </c>
    </row>
    <row r="36" spans="1:3" x14ac:dyDescent="0.3">
      <c r="A36" s="8" t="s">
        <v>80</v>
      </c>
      <c r="B36" s="9" t="s">
        <v>81</v>
      </c>
      <c r="C36" s="10" t="s">
        <v>82</v>
      </c>
    </row>
    <row r="37" spans="1:3" x14ac:dyDescent="0.3">
      <c r="A37" s="11" t="s">
        <v>83</v>
      </c>
      <c r="B37" s="12" t="s">
        <v>84</v>
      </c>
      <c r="C37" s="13" t="s">
        <v>85</v>
      </c>
    </row>
    <row r="38" spans="1:3" x14ac:dyDescent="0.3">
      <c r="A38" s="8" t="s">
        <v>86</v>
      </c>
      <c r="B38" s="9" t="s">
        <v>87</v>
      </c>
      <c r="C38" s="10" t="s">
        <v>88</v>
      </c>
    </row>
    <row r="39" spans="1:3" x14ac:dyDescent="0.3">
      <c r="A39" s="11" t="s">
        <v>89</v>
      </c>
      <c r="B39" s="12" t="s">
        <v>90</v>
      </c>
      <c r="C39" s="13" t="s">
        <v>91</v>
      </c>
    </row>
    <row r="40" spans="1:3" x14ac:dyDescent="0.3">
      <c r="A40" s="8" t="s">
        <v>92</v>
      </c>
      <c r="B40" s="9" t="s">
        <v>93</v>
      </c>
      <c r="C40" s="10" t="s">
        <v>94</v>
      </c>
    </row>
    <row r="41" spans="1:3" x14ac:dyDescent="0.3">
      <c r="A41" s="11" t="s">
        <v>95</v>
      </c>
      <c r="B41" s="12" t="s">
        <v>96</v>
      </c>
      <c r="C41" s="13" t="s">
        <v>97</v>
      </c>
    </row>
  </sheetData>
  <mergeCells count="4">
    <mergeCell ref="A3:L3"/>
    <mergeCell ref="A2:L2"/>
    <mergeCell ref="A1:L1"/>
    <mergeCell ref="A32:L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topLeftCell="A5" workbookViewId="0">
      <selection sqref="A1:L1"/>
    </sheetView>
  </sheetViews>
  <sheetFormatPr defaultRowHeight="14.4" x14ac:dyDescent="0.3"/>
  <cols>
    <col min="1" max="1" width="5" customWidth="1"/>
    <col min="2" max="2" width="20" customWidth="1"/>
    <col min="3" max="3" width="35" customWidth="1"/>
    <col min="4" max="4" width="32" customWidth="1"/>
  </cols>
  <sheetData>
    <row r="1" spans="1:12" ht="25.95" customHeight="1" x14ac:dyDescent="0.3">
      <c r="A1" s="22" t="s">
        <v>98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3.95" customHeight="1" x14ac:dyDescent="0.3">
      <c r="A2" s="21" t="s">
        <v>99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6.05" customHeight="1" x14ac:dyDescent="0.3">
      <c r="A3" s="19" t="s">
        <v>100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5" spans="1:12" ht="19.95" customHeight="1" x14ac:dyDescent="0.3">
      <c r="A5" s="1" t="s">
        <v>101</v>
      </c>
      <c r="B5" s="1" t="s">
        <v>102</v>
      </c>
      <c r="C5" s="1" t="s">
        <v>103</v>
      </c>
      <c r="D5" s="1" t="s">
        <v>104</v>
      </c>
    </row>
    <row r="6" spans="1:12" ht="28.05" customHeight="1" x14ac:dyDescent="0.3">
      <c r="A6" s="14" t="s">
        <v>105</v>
      </c>
      <c r="B6" s="15" t="s">
        <v>106</v>
      </c>
      <c r="C6" s="15" t="s">
        <v>107</v>
      </c>
      <c r="D6" s="2" t="s">
        <v>108</v>
      </c>
    </row>
    <row r="7" spans="1:12" ht="28.05" customHeight="1" x14ac:dyDescent="0.3">
      <c r="A7" s="14" t="s">
        <v>105</v>
      </c>
      <c r="B7" s="15" t="s">
        <v>109</v>
      </c>
      <c r="C7" s="15" t="s">
        <v>110</v>
      </c>
      <c r="D7" s="3" t="s">
        <v>111</v>
      </c>
    </row>
    <row r="8" spans="1:12" ht="28.05" customHeight="1" x14ac:dyDescent="0.3">
      <c r="A8" s="14" t="s">
        <v>105</v>
      </c>
      <c r="B8" s="15" t="s">
        <v>112</v>
      </c>
      <c r="C8" s="15" t="s">
        <v>113</v>
      </c>
      <c r="D8" s="2" t="s">
        <v>114</v>
      </c>
    </row>
    <row r="9" spans="1:12" ht="28.05" customHeight="1" x14ac:dyDescent="0.3">
      <c r="A9" s="14" t="s">
        <v>105</v>
      </c>
      <c r="B9" s="15" t="s">
        <v>115</v>
      </c>
      <c r="C9" s="15" t="s">
        <v>116</v>
      </c>
      <c r="D9" s="3" t="s">
        <v>117</v>
      </c>
    </row>
    <row r="10" spans="1:12" ht="28.05" customHeight="1" x14ac:dyDescent="0.3">
      <c r="A10" s="14" t="s">
        <v>105</v>
      </c>
      <c r="B10" s="15" t="s">
        <v>93</v>
      </c>
      <c r="C10" s="15" t="s">
        <v>118</v>
      </c>
      <c r="D10" s="2" t="s">
        <v>119</v>
      </c>
    </row>
    <row r="11" spans="1:12" ht="28.05" customHeight="1" x14ac:dyDescent="0.3">
      <c r="A11" s="14" t="s">
        <v>105</v>
      </c>
      <c r="B11" s="15" t="s">
        <v>120</v>
      </c>
      <c r="C11" s="15" t="s">
        <v>121</v>
      </c>
      <c r="D11" s="3" t="s">
        <v>122</v>
      </c>
    </row>
    <row r="12" spans="1:12" ht="28.05" customHeight="1" x14ac:dyDescent="0.3">
      <c r="A12" s="14" t="s">
        <v>105</v>
      </c>
      <c r="B12" s="15" t="s">
        <v>123</v>
      </c>
      <c r="C12" s="15" t="s">
        <v>124</v>
      </c>
      <c r="D12" s="2" t="s">
        <v>125</v>
      </c>
    </row>
    <row r="13" spans="1:12" ht="28.05" customHeight="1" x14ac:dyDescent="0.3">
      <c r="A13" s="14" t="s">
        <v>105</v>
      </c>
      <c r="B13" s="15" t="s">
        <v>126</v>
      </c>
      <c r="C13" s="15" t="s">
        <v>127</v>
      </c>
      <c r="D13" s="3" t="s">
        <v>128</v>
      </c>
    </row>
    <row r="14" spans="1:12" ht="28.05" customHeight="1" x14ac:dyDescent="0.3">
      <c r="A14" s="14" t="s">
        <v>105</v>
      </c>
      <c r="B14" s="15" t="s">
        <v>129</v>
      </c>
      <c r="C14" s="15" t="s">
        <v>130</v>
      </c>
      <c r="D14" s="2" t="s">
        <v>131</v>
      </c>
    </row>
    <row r="15" spans="1:12" ht="28.05" customHeight="1" x14ac:dyDescent="0.3">
      <c r="A15" s="14" t="s">
        <v>105</v>
      </c>
      <c r="B15" s="15" t="s">
        <v>132</v>
      </c>
      <c r="C15" s="15" t="s">
        <v>133</v>
      </c>
      <c r="D15" s="3" t="s">
        <v>134</v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8"/>
  <sheetViews>
    <sheetView workbookViewId="0">
      <selection activeCell="D6" sqref="D6:K30"/>
    </sheetView>
  </sheetViews>
  <sheetFormatPr defaultRowHeight="14.4" x14ac:dyDescent="0.3"/>
  <cols>
    <col min="1" max="1" width="16" customWidth="1"/>
    <col min="2" max="2" width="25" customWidth="1"/>
    <col min="3" max="3" width="35" customWidth="1"/>
    <col min="4" max="4" width="24" customWidth="1"/>
    <col min="5" max="10" width="9" customWidth="1"/>
    <col min="11" max="11" width="10" customWidth="1"/>
    <col min="12" max="12" width="8" customWidth="1"/>
  </cols>
  <sheetData>
    <row r="1" spans="1:13" ht="25.95" customHeight="1" x14ac:dyDescent="0.3">
      <c r="A1" s="22" t="s">
        <v>135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3" ht="13.95" customHeight="1" x14ac:dyDescent="0.3">
      <c r="A2" s="21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3" ht="16.05" customHeight="1" x14ac:dyDescent="0.3">
      <c r="A3" s="19" t="s">
        <v>136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5" spans="1:13" ht="19.95" customHeight="1" x14ac:dyDescent="0.3">
      <c r="A5" s="1" t="s">
        <v>137</v>
      </c>
      <c r="B5" s="1" t="s">
        <v>138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51</v>
      </c>
      <c r="L5" s="1" t="s">
        <v>139</v>
      </c>
    </row>
    <row r="6" spans="1:13" x14ac:dyDescent="0.3">
      <c r="A6" s="16" t="s">
        <v>140</v>
      </c>
      <c r="B6" s="16" t="s">
        <v>141</v>
      </c>
      <c r="C6" s="16" t="s">
        <v>52</v>
      </c>
      <c r="D6" s="29">
        <v>100</v>
      </c>
      <c r="E6" s="29">
        <v>69</v>
      </c>
      <c r="F6" s="29">
        <v>47</v>
      </c>
      <c r="G6" s="29">
        <v>70</v>
      </c>
      <c r="H6" s="29">
        <v>56</v>
      </c>
      <c r="I6" s="29">
        <v>71</v>
      </c>
      <c r="J6" s="29">
        <v>45</v>
      </c>
      <c r="K6" s="29">
        <v>42</v>
      </c>
      <c r="L6" s="14">
        <v>62.5</v>
      </c>
      <c r="M6" s="17" t="s">
        <v>142</v>
      </c>
    </row>
    <row r="7" spans="1:13" x14ac:dyDescent="0.3">
      <c r="A7" s="18" t="s">
        <v>143</v>
      </c>
      <c r="B7" s="18" t="s">
        <v>144</v>
      </c>
      <c r="C7" s="18" t="s">
        <v>52</v>
      </c>
      <c r="D7" s="29">
        <v>82</v>
      </c>
      <c r="E7" s="29">
        <v>66</v>
      </c>
      <c r="F7" s="29">
        <v>43</v>
      </c>
      <c r="G7" s="29">
        <v>67</v>
      </c>
      <c r="H7" s="29">
        <v>53</v>
      </c>
      <c r="I7" s="29">
        <v>72</v>
      </c>
      <c r="J7" s="29">
        <v>100</v>
      </c>
      <c r="K7" s="29">
        <v>70</v>
      </c>
      <c r="L7" s="14">
        <v>69.099999999999994</v>
      </c>
      <c r="M7" s="17" t="s">
        <v>142</v>
      </c>
    </row>
    <row r="8" spans="1:13" x14ac:dyDescent="0.3">
      <c r="A8" s="16" t="s">
        <v>145</v>
      </c>
      <c r="B8" s="16" t="s">
        <v>146</v>
      </c>
      <c r="C8" s="16" t="s">
        <v>52</v>
      </c>
      <c r="D8" s="29">
        <v>74</v>
      </c>
      <c r="E8" s="29">
        <v>69</v>
      </c>
      <c r="F8" s="29">
        <v>71</v>
      </c>
      <c r="G8" s="29">
        <v>64</v>
      </c>
      <c r="H8" s="29">
        <v>87</v>
      </c>
      <c r="I8" s="29">
        <v>74</v>
      </c>
      <c r="J8" s="29">
        <v>83</v>
      </c>
      <c r="K8" s="29">
        <v>83</v>
      </c>
      <c r="L8" s="14">
        <v>75.599999999999994</v>
      </c>
      <c r="M8" s="17" t="s">
        <v>147</v>
      </c>
    </row>
    <row r="9" spans="1:13" x14ac:dyDescent="0.3">
      <c r="A9" s="18" t="s">
        <v>148</v>
      </c>
      <c r="B9" s="18" t="s">
        <v>149</v>
      </c>
      <c r="C9" s="18" t="s">
        <v>52</v>
      </c>
      <c r="D9" s="29">
        <v>59</v>
      </c>
      <c r="E9" s="29">
        <v>79</v>
      </c>
      <c r="F9" s="29">
        <v>56</v>
      </c>
      <c r="G9" s="29">
        <v>81</v>
      </c>
      <c r="H9" s="29">
        <v>86</v>
      </c>
      <c r="I9" s="29">
        <v>58</v>
      </c>
      <c r="J9" s="29">
        <v>87</v>
      </c>
      <c r="K9" s="29">
        <v>72</v>
      </c>
      <c r="L9" s="14">
        <v>72.2</v>
      </c>
      <c r="M9" s="17" t="s">
        <v>147</v>
      </c>
    </row>
    <row r="10" spans="1:13" x14ac:dyDescent="0.3">
      <c r="A10" s="16" t="s">
        <v>150</v>
      </c>
      <c r="B10" s="16" t="s">
        <v>151</v>
      </c>
      <c r="C10" s="16" t="s">
        <v>52</v>
      </c>
      <c r="D10" s="29">
        <v>59</v>
      </c>
      <c r="E10" s="29">
        <v>100</v>
      </c>
      <c r="F10" s="29">
        <v>95</v>
      </c>
      <c r="G10" s="29">
        <v>61</v>
      </c>
      <c r="H10" s="29">
        <v>74</v>
      </c>
      <c r="I10" s="29">
        <v>45</v>
      </c>
      <c r="J10" s="29">
        <v>58</v>
      </c>
      <c r="K10" s="29">
        <v>91</v>
      </c>
      <c r="L10" s="14">
        <v>72.900000000000006</v>
      </c>
      <c r="M10" s="17" t="s">
        <v>147</v>
      </c>
    </row>
    <row r="11" spans="1:13" x14ac:dyDescent="0.3">
      <c r="A11" s="18" t="s">
        <v>152</v>
      </c>
      <c r="B11" s="18" t="s">
        <v>153</v>
      </c>
      <c r="C11" s="18" t="s">
        <v>52</v>
      </c>
      <c r="D11" s="29">
        <v>78</v>
      </c>
      <c r="E11" s="29">
        <v>58</v>
      </c>
      <c r="F11" s="29">
        <v>58</v>
      </c>
      <c r="G11" s="29">
        <v>88</v>
      </c>
      <c r="H11" s="29">
        <v>67</v>
      </c>
      <c r="I11" s="29">
        <v>68</v>
      </c>
      <c r="J11" s="29">
        <v>78</v>
      </c>
      <c r="K11" s="29">
        <v>85</v>
      </c>
      <c r="L11" s="14">
        <v>72.5</v>
      </c>
      <c r="M11" s="17" t="s">
        <v>147</v>
      </c>
    </row>
    <row r="12" spans="1:13" x14ac:dyDescent="0.3">
      <c r="A12" s="16" t="s">
        <v>154</v>
      </c>
      <c r="B12" s="16" t="s">
        <v>155</v>
      </c>
      <c r="C12" s="16" t="s">
        <v>52</v>
      </c>
      <c r="D12" s="29">
        <v>63</v>
      </c>
      <c r="E12" s="29">
        <v>62</v>
      </c>
      <c r="F12" s="29">
        <v>51</v>
      </c>
      <c r="G12" s="29">
        <v>99</v>
      </c>
      <c r="H12" s="29">
        <v>43</v>
      </c>
      <c r="I12" s="29">
        <v>80</v>
      </c>
      <c r="J12" s="29">
        <v>100</v>
      </c>
      <c r="K12" s="29">
        <v>61</v>
      </c>
      <c r="L12" s="14">
        <v>69.900000000000006</v>
      </c>
      <c r="M12" s="17" t="s">
        <v>142</v>
      </c>
    </row>
    <row r="13" spans="1:13" x14ac:dyDescent="0.3">
      <c r="A13" s="18" t="s">
        <v>156</v>
      </c>
      <c r="B13" s="18" t="s">
        <v>157</v>
      </c>
      <c r="C13" s="18" t="s">
        <v>52</v>
      </c>
      <c r="D13" s="29">
        <v>88</v>
      </c>
      <c r="E13" s="29">
        <v>65</v>
      </c>
      <c r="F13" s="29">
        <v>72</v>
      </c>
      <c r="G13" s="29">
        <v>67</v>
      </c>
      <c r="H13" s="29">
        <v>72</v>
      </c>
      <c r="I13" s="29">
        <v>76</v>
      </c>
      <c r="J13" s="29">
        <v>88</v>
      </c>
      <c r="K13" s="29">
        <v>80</v>
      </c>
      <c r="L13" s="14">
        <v>76</v>
      </c>
      <c r="M13" s="17" t="s">
        <v>147</v>
      </c>
    </row>
    <row r="14" spans="1:13" x14ac:dyDescent="0.3">
      <c r="A14" s="16" t="s">
        <v>158</v>
      </c>
      <c r="B14" s="16" t="s">
        <v>159</v>
      </c>
      <c r="C14" s="16" t="s">
        <v>52</v>
      </c>
      <c r="D14" s="29">
        <v>96</v>
      </c>
      <c r="E14" s="29">
        <v>82</v>
      </c>
      <c r="F14" s="29">
        <v>89</v>
      </c>
      <c r="G14" s="29">
        <v>40</v>
      </c>
      <c r="H14" s="29">
        <v>94</v>
      </c>
      <c r="I14" s="29">
        <v>64</v>
      </c>
      <c r="J14" s="29">
        <v>79</v>
      </c>
      <c r="K14" s="29">
        <v>69</v>
      </c>
      <c r="L14" s="14">
        <v>76.599999999999994</v>
      </c>
      <c r="M14" s="17" t="s">
        <v>147</v>
      </c>
    </row>
    <row r="15" spans="1:13" x14ac:dyDescent="0.3">
      <c r="A15" s="18" t="s">
        <v>160</v>
      </c>
      <c r="B15" s="18" t="s">
        <v>161</v>
      </c>
      <c r="C15" s="18" t="s">
        <v>52</v>
      </c>
      <c r="D15" s="29">
        <v>71</v>
      </c>
      <c r="E15" s="29">
        <v>84</v>
      </c>
      <c r="F15" s="29">
        <v>96</v>
      </c>
      <c r="G15" s="29">
        <v>82</v>
      </c>
      <c r="H15" s="29">
        <v>69</v>
      </c>
      <c r="I15" s="29">
        <v>86</v>
      </c>
      <c r="J15" s="29">
        <v>80</v>
      </c>
      <c r="K15" s="29">
        <v>89</v>
      </c>
      <c r="L15" s="14">
        <v>82.1</v>
      </c>
      <c r="M15" s="17" t="s">
        <v>162</v>
      </c>
    </row>
    <row r="16" spans="1:13" x14ac:dyDescent="0.3">
      <c r="A16" s="16" t="s">
        <v>163</v>
      </c>
      <c r="B16" s="16" t="s">
        <v>164</v>
      </c>
      <c r="C16" s="16" t="s">
        <v>52</v>
      </c>
      <c r="D16" s="29">
        <v>53</v>
      </c>
      <c r="E16" s="29">
        <v>63</v>
      </c>
      <c r="F16" s="29">
        <v>90</v>
      </c>
      <c r="G16" s="29">
        <v>58</v>
      </c>
      <c r="H16" s="29">
        <v>78</v>
      </c>
      <c r="I16" s="29">
        <v>70</v>
      </c>
      <c r="J16" s="29">
        <v>87</v>
      </c>
      <c r="K16" s="29">
        <v>73</v>
      </c>
      <c r="L16" s="14">
        <v>71.5</v>
      </c>
      <c r="M16" s="17" t="s">
        <v>147</v>
      </c>
    </row>
    <row r="17" spans="1:13" x14ac:dyDescent="0.3">
      <c r="A17" s="18" t="s">
        <v>165</v>
      </c>
      <c r="B17" s="18" t="s">
        <v>166</v>
      </c>
      <c r="C17" s="18" t="s">
        <v>52</v>
      </c>
      <c r="D17" s="29">
        <v>69</v>
      </c>
      <c r="E17" s="29">
        <v>66</v>
      </c>
      <c r="F17" s="29">
        <v>44</v>
      </c>
      <c r="G17" s="29">
        <v>87</v>
      </c>
      <c r="H17" s="29">
        <v>100</v>
      </c>
      <c r="I17" s="29">
        <v>61</v>
      </c>
      <c r="J17" s="29">
        <v>56</v>
      </c>
      <c r="K17" s="29">
        <v>37</v>
      </c>
      <c r="L17" s="14">
        <v>65</v>
      </c>
      <c r="M17" s="17" t="s">
        <v>142</v>
      </c>
    </row>
    <row r="18" spans="1:13" x14ac:dyDescent="0.3">
      <c r="A18" s="16" t="s">
        <v>167</v>
      </c>
      <c r="B18" s="16" t="s">
        <v>168</v>
      </c>
      <c r="C18" s="16" t="s">
        <v>52</v>
      </c>
      <c r="D18" s="29">
        <v>59</v>
      </c>
      <c r="E18" s="29">
        <v>65</v>
      </c>
      <c r="F18" s="29">
        <v>87</v>
      </c>
      <c r="G18" s="29">
        <v>57</v>
      </c>
      <c r="H18" s="29">
        <v>79</v>
      </c>
      <c r="I18" s="29">
        <v>63</v>
      </c>
      <c r="J18" s="29">
        <v>89</v>
      </c>
      <c r="K18" s="29">
        <v>73</v>
      </c>
      <c r="L18" s="14">
        <v>71.5</v>
      </c>
      <c r="M18" s="17" t="s">
        <v>147</v>
      </c>
    </row>
    <row r="19" spans="1:13" x14ac:dyDescent="0.3">
      <c r="A19" s="18" t="s">
        <v>169</v>
      </c>
      <c r="B19" s="18" t="s">
        <v>170</v>
      </c>
      <c r="C19" s="18" t="s">
        <v>52</v>
      </c>
      <c r="D19" s="29">
        <v>85</v>
      </c>
      <c r="E19" s="29">
        <v>93</v>
      </c>
      <c r="F19" s="29">
        <v>71</v>
      </c>
      <c r="G19" s="29">
        <v>61</v>
      </c>
      <c r="H19" s="29">
        <v>50</v>
      </c>
      <c r="I19" s="29">
        <v>67</v>
      </c>
      <c r="J19" s="29">
        <v>72</v>
      </c>
      <c r="K19" s="29">
        <v>89</v>
      </c>
      <c r="L19" s="14">
        <v>73.5</v>
      </c>
      <c r="M19" s="17" t="s">
        <v>147</v>
      </c>
    </row>
    <row r="20" spans="1:13" x14ac:dyDescent="0.3">
      <c r="A20" s="16" t="s">
        <v>171</v>
      </c>
      <c r="B20" s="16" t="s">
        <v>172</v>
      </c>
      <c r="C20" s="16" t="s">
        <v>52</v>
      </c>
      <c r="D20" s="29">
        <v>70</v>
      </c>
      <c r="E20" s="29">
        <v>100</v>
      </c>
      <c r="F20" s="29">
        <v>92</v>
      </c>
      <c r="G20" s="29">
        <v>94</v>
      </c>
      <c r="H20" s="29">
        <v>63</v>
      </c>
      <c r="I20" s="29">
        <v>74</v>
      </c>
      <c r="J20" s="29">
        <v>74</v>
      </c>
      <c r="K20" s="29">
        <v>88</v>
      </c>
      <c r="L20" s="14">
        <v>81.900000000000006</v>
      </c>
      <c r="M20" s="17" t="s">
        <v>162</v>
      </c>
    </row>
    <row r="21" spans="1:13" x14ac:dyDescent="0.3">
      <c r="A21" s="18" t="s">
        <v>173</v>
      </c>
      <c r="B21" s="18" t="s">
        <v>174</v>
      </c>
      <c r="C21" s="18" t="s">
        <v>52</v>
      </c>
      <c r="D21" s="29">
        <v>81</v>
      </c>
      <c r="E21" s="29">
        <v>65</v>
      </c>
      <c r="F21" s="29">
        <v>65</v>
      </c>
      <c r="G21" s="29">
        <v>60</v>
      </c>
      <c r="H21" s="29">
        <v>76</v>
      </c>
      <c r="I21" s="29">
        <v>50</v>
      </c>
      <c r="J21" s="29">
        <v>64</v>
      </c>
      <c r="K21" s="29">
        <v>94</v>
      </c>
      <c r="L21" s="14">
        <v>69.400000000000006</v>
      </c>
      <c r="M21" s="17" t="s">
        <v>142</v>
      </c>
    </row>
    <row r="22" spans="1:13" x14ac:dyDescent="0.3">
      <c r="A22" s="16" t="s">
        <v>175</v>
      </c>
      <c r="B22" s="16" t="s">
        <v>176</v>
      </c>
      <c r="C22" s="16" t="s">
        <v>52</v>
      </c>
      <c r="D22" s="29">
        <v>40</v>
      </c>
      <c r="E22" s="29">
        <v>100</v>
      </c>
      <c r="F22" s="29">
        <v>70</v>
      </c>
      <c r="G22" s="29">
        <v>71</v>
      </c>
      <c r="H22" s="29">
        <v>79</v>
      </c>
      <c r="I22" s="29">
        <v>48</v>
      </c>
      <c r="J22" s="29">
        <v>80</v>
      </c>
      <c r="K22" s="29">
        <v>53</v>
      </c>
      <c r="L22" s="14">
        <v>67.599999999999994</v>
      </c>
      <c r="M22" s="17" t="s">
        <v>142</v>
      </c>
    </row>
    <row r="23" spans="1:13" x14ac:dyDescent="0.3">
      <c r="A23" s="18" t="s">
        <v>177</v>
      </c>
      <c r="B23" s="18" t="s">
        <v>178</v>
      </c>
      <c r="C23" s="18" t="s">
        <v>52</v>
      </c>
      <c r="D23" s="29">
        <v>88</v>
      </c>
      <c r="E23" s="29">
        <v>43</v>
      </c>
      <c r="F23" s="29">
        <v>78</v>
      </c>
      <c r="G23" s="29">
        <v>68</v>
      </c>
      <c r="H23" s="29">
        <v>83</v>
      </c>
      <c r="I23" s="29">
        <v>58</v>
      </c>
      <c r="J23" s="29">
        <v>71</v>
      </c>
      <c r="K23" s="29">
        <v>72</v>
      </c>
      <c r="L23" s="14">
        <v>70.099999999999994</v>
      </c>
      <c r="M23" s="17" t="s">
        <v>147</v>
      </c>
    </row>
    <row r="24" spans="1:13" x14ac:dyDescent="0.3">
      <c r="A24" s="16" t="s">
        <v>179</v>
      </c>
      <c r="B24" s="16" t="s">
        <v>180</v>
      </c>
      <c r="C24" s="16" t="s">
        <v>52</v>
      </c>
      <c r="D24" s="29">
        <v>100</v>
      </c>
      <c r="E24" s="29">
        <v>75</v>
      </c>
      <c r="F24" s="29">
        <v>84</v>
      </c>
      <c r="G24" s="29">
        <v>44</v>
      </c>
      <c r="H24" s="29">
        <v>66</v>
      </c>
      <c r="I24" s="29">
        <v>67</v>
      </c>
      <c r="J24" s="29">
        <v>65</v>
      </c>
      <c r="K24" s="29">
        <v>76</v>
      </c>
      <c r="L24" s="14">
        <v>72.099999999999994</v>
      </c>
      <c r="M24" s="17" t="s">
        <v>147</v>
      </c>
    </row>
    <row r="25" spans="1:13" x14ac:dyDescent="0.3">
      <c r="A25" s="18" t="s">
        <v>181</v>
      </c>
      <c r="B25" s="18" t="s">
        <v>182</v>
      </c>
      <c r="C25" s="18" t="s">
        <v>52</v>
      </c>
      <c r="D25" s="29">
        <v>86</v>
      </c>
      <c r="E25" s="29">
        <v>79</v>
      </c>
      <c r="F25" s="29">
        <v>41</v>
      </c>
      <c r="G25" s="29">
        <v>63</v>
      </c>
      <c r="H25" s="29">
        <v>58</v>
      </c>
      <c r="I25" s="29">
        <v>50</v>
      </c>
      <c r="J25" s="29">
        <v>57</v>
      </c>
      <c r="K25" s="29">
        <v>83</v>
      </c>
      <c r="L25" s="14">
        <v>64.599999999999994</v>
      </c>
      <c r="M25" s="17" t="s">
        <v>142</v>
      </c>
    </row>
    <row r="26" spans="1:13" x14ac:dyDescent="0.3">
      <c r="A26" s="16" t="s">
        <v>183</v>
      </c>
      <c r="B26" s="16" t="s">
        <v>184</v>
      </c>
      <c r="C26" s="16" t="s">
        <v>52</v>
      </c>
      <c r="D26" s="29">
        <v>67</v>
      </c>
      <c r="E26" s="29">
        <v>80</v>
      </c>
      <c r="F26" s="29">
        <v>66</v>
      </c>
      <c r="G26" s="29">
        <v>54</v>
      </c>
      <c r="H26" s="29">
        <v>69</v>
      </c>
      <c r="I26" s="29">
        <v>86</v>
      </c>
      <c r="J26" s="29">
        <v>68</v>
      </c>
      <c r="K26" s="29">
        <v>64</v>
      </c>
      <c r="L26" s="14">
        <v>69.2</v>
      </c>
      <c r="M26" s="17" t="s">
        <v>142</v>
      </c>
    </row>
    <row r="27" spans="1:13" x14ac:dyDescent="0.3">
      <c r="A27" s="18" t="s">
        <v>185</v>
      </c>
      <c r="B27" s="18" t="s">
        <v>186</v>
      </c>
      <c r="C27" s="18" t="s">
        <v>52</v>
      </c>
      <c r="D27" s="29">
        <v>68</v>
      </c>
      <c r="E27" s="29">
        <v>77</v>
      </c>
      <c r="F27" s="29">
        <v>54</v>
      </c>
      <c r="G27" s="29">
        <v>56</v>
      </c>
      <c r="H27" s="29">
        <v>67</v>
      </c>
      <c r="I27" s="29">
        <v>75</v>
      </c>
      <c r="J27" s="29">
        <v>51</v>
      </c>
      <c r="K27" s="29">
        <v>82</v>
      </c>
      <c r="L27" s="14">
        <v>66.2</v>
      </c>
      <c r="M27" s="17" t="s">
        <v>142</v>
      </c>
    </row>
    <row r="28" spans="1:13" x14ac:dyDescent="0.3">
      <c r="A28" s="16" t="s">
        <v>187</v>
      </c>
      <c r="B28" s="16" t="s">
        <v>188</v>
      </c>
      <c r="C28" s="16" t="s">
        <v>52</v>
      </c>
      <c r="D28" s="29">
        <v>82</v>
      </c>
      <c r="E28" s="29">
        <v>71</v>
      </c>
      <c r="F28" s="29">
        <v>77</v>
      </c>
      <c r="G28" s="29">
        <v>60</v>
      </c>
      <c r="H28" s="29">
        <v>66</v>
      </c>
      <c r="I28" s="29">
        <v>80</v>
      </c>
      <c r="J28" s="29">
        <v>82</v>
      </c>
      <c r="K28" s="29">
        <v>85</v>
      </c>
      <c r="L28" s="14">
        <v>75.400000000000006</v>
      </c>
      <c r="M28" s="17" t="s">
        <v>147</v>
      </c>
    </row>
    <row r="29" spans="1:13" x14ac:dyDescent="0.3">
      <c r="A29" s="18" t="s">
        <v>189</v>
      </c>
      <c r="B29" s="18" t="s">
        <v>190</v>
      </c>
      <c r="C29" s="18" t="s">
        <v>52</v>
      </c>
      <c r="D29" s="29">
        <v>57</v>
      </c>
      <c r="E29" s="29">
        <v>79</v>
      </c>
      <c r="F29" s="29">
        <v>55</v>
      </c>
      <c r="G29" s="29">
        <v>96</v>
      </c>
      <c r="H29" s="29">
        <v>73</v>
      </c>
      <c r="I29" s="29">
        <v>71</v>
      </c>
      <c r="J29" s="29">
        <v>55</v>
      </c>
      <c r="K29" s="29">
        <v>74</v>
      </c>
      <c r="L29" s="14">
        <v>70</v>
      </c>
      <c r="M29" s="17" t="s">
        <v>147</v>
      </c>
    </row>
    <row r="30" spans="1:13" x14ac:dyDescent="0.3">
      <c r="A30" s="16" t="s">
        <v>191</v>
      </c>
      <c r="B30" s="16" t="s">
        <v>192</v>
      </c>
      <c r="C30" s="16" t="s">
        <v>52</v>
      </c>
      <c r="D30" s="29">
        <v>68</v>
      </c>
      <c r="E30" s="29">
        <v>54</v>
      </c>
      <c r="F30" s="29">
        <v>50</v>
      </c>
      <c r="G30" s="29">
        <v>72</v>
      </c>
      <c r="H30" s="29">
        <v>83</v>
      </c>
      <c r="I30" s="29">
        <v>82</v>
      </c>
      <c r="J30" s="29">
        <v>74</v>
      </c>
      <c r="K30" s="29">
        <v>90</v>
      </c>
      <c r="L30" s="14">
        <v>71.599999999999994</v>
      </c>
      <c r="M30" s="17" t="s">
        <v>147</v>
      </c>
    </row>
    <row r="32" spans="1:13" ht="18" customHeight="1" x14ac:dyDescent="0.3">
      <c r="A32" s="23" t="s">
        <v>193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spans="1:4" ht="19.95" customHeight="1" x14ac:dyDescent="0.3">
      <c r="A33" s="1" t="s">
        <v>194</v>
      </c>
      <c r="B33" s="1" t="s">
        <v>195</v>
      </c>
      <c r="C33" s="1" t="s">
        <v>196</v>
      </c>
      <c r="D33" s="1" t="s">
        <v>197</v>
      </c>
    </row>
    <row r="34" spans="1:4" ht="31.95" customHeight="1" x14ac:dyDescent="0.3">
      <c r="A34" s="15" t="s">
        <v>198</v>
      </c>
      <c r="B34" s="15" t="s">
        <v>199</v>
      </c>
      <c r="C34" s="15" t="s">
        <v>200</v>
      </c>
      <c r="D34" s="2" t="s">
        <v>201</v>
      </c>
    </row>
    <row r="35" spans="1:4" ht="31.95" customHeight="1" x14ac:dyDescent="0.3">
      <c r="A35" s="15" t="s">
        <v>202</v>
      </c>
      <c r="B35" s="15" t="s">
        <v>203</v>
      </c>
      <c r="C35" s="15" t="s">
        <v>204</v>
      </c>
      <c r="D35" s="3" t="s">
        <v>205</v>
      </c>
    </row>
    <row r="36" spans="1:4" ht="31.95" customHeight="1" x14ac:dyDescent="0.3">
      <c r="A36" s="15" t="s">
        <v>206</v>
      </c>
      <c r="B36" s="15" t="s">
        <v>207</v>
      </c>
      <c r="C36" s="15" t="s">
        <v>208</v>
      </c>
      <c r="D36" s="2" t="s">
        <v>209</v>
      </c>
    </row>
    <row r="37" spans="1:4" ht="31.95" customHeight="1" x14ac:dyDescent="0.3">
      <c r="A37" s="15" t="s">
        <v>210</v>
      </c>
      <c r="B37" s="15" t="s">
        <v>211</v>
      </c>
      <c r="C37" s="15" t="s">
        <v>212</v>
      </c>
      <c r="D37" s="3" t="s">
        <v>213</v>
      </c>
    </row>
    <row r="38" spans="1:4" ht="31.95" customHeight="1" x14ac:dyDescent="0.3">
      <c r="A38" s="15" t="s">
        <v>214</v>
      </c>
      <c r="B38" s="15" t="s">
        <v>215</v>
      </c>
      <c r="C38" s="15"/>
      <c r="D38" s="2" t="s">
        <v>216</v>
      </c>
    </row>
  </sheetData>
  <mergeCells count="4">
    <mergeCell ref="A3:L3"/>
    <mergeCell ref="A2:L2"/>
    <mergeCell ref="A1:L1"/>
    <mergeCell ref="A32:L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5"/>
  <sheetViews>
    <sheetView tabSelected="1" workbookViewId="0">
      <pane ySplit="5" topLeftCell="A6" activePane="bottomLeft" state="frozen"/>
      <selection pane="bottomLeft" activeCell="L6" sqref="L6"/>
    </sheetView>
  </sheetViews>
  <sheetFormatPr defaultRowHeight="14.4" x14ac:dyDescent="0.3"/>
  <cols>
    <col min="1" max="1" width="15" customWidth="1"/>
    <col min="2" max="2" width="50" customWidth="1"/>
    <col min="3" max="3" width="20" customWidth="1"/>
    <col min="4" max="4" width="15" customWidth="1"/>
    <col min="5" max="11" width="12" customWidth="1"/>
    <col min="12" max="12" width="14" customWidth="1"/>
  </cols>
  <sheetData>
    <row r="1" spans="1:14" ht="25.95" customHeight="1" x14ac:dyDescent="0.3">
      <c r="A1" s="22" t="s">
        <v>217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3.95" customHeight="1" x14ac:dyDescent="0.3">
      <c r="A2" s="21" t="s">
        <v>218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16.05" customHeight="1" x14ac:dyDescent="0.3">
      <c r="A3" s="19" t="s">
        <v>219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5" spans="1:14" ht="32.4" customHeight="1" thickBot="1" x14ac:dyDescent="0.35">
      <c r="A5" s="27" t="s">
        <v>137</v>
      </c>
      <c r="B5" s="27" t="s">
        <v>138</v>
      </c>
      <c r="C5" s="27" t="s">
        <v>42</v>
      </c>
      <c r="D5" s="27" t="s">
        <v>220</v>
      </c>
      <c r="E5" s="27" t="s">
        <v>221</v>
      </c>
      <c r="F5" s="27" t="s">
        <v>222</v>
      </c>
      <c r="G5" s="27" t="s">
        <v>223</v>
      </c>
      <c r="H5" s="27" t="s">
        <v>224</v>
      </c>
      <c r="I5" s="27" t="s">
        <v>225</v>
      </c>
      <c r="J5" s="27" t="s">
        <v>226</v>
      </c>
      <c r="K5" s="27" t="s">
        <v>227</v>
      </c>
      <c r="L5" s="27" t="s">
        <v>228</v>
      </c>
    </row>
    <row r="6" spans="1:14" x14ac:dyDescent="0.3">
      <c r="A6" s="28" t="s">
        <v>140</v>
      </c>
      <c r="B6" s="28" t="s">
        <v>141</v>
      </c>
      <c r="C6" s="28" t="s">
        <v>52</v>
      </c>
      <c r="D6" s="29">
        <v>2</v>
      </c>
      <c r="E6" s="29">
        <v>2.25</v>
      </c>
      <c r="F6" s="29">
        <v>2.06</v>
      </c>
      <c r="G6" s="29">
        <v>2.19</v>
      </c>
      <c r="H6" s="29">
        <v>1.88</v>
      </c>
      <c r="I6" s="29"/>
      <c r="J6" s="29"/>
      <c r="K6" s="29" t="str">
        <f>IF(H6&gt;G6,"↑Meningkat","↓Menurun")</f>
        <v>↓Menurun</v>
      </c>
      <c r="L6" s="30" t="str">
        <f>IF(H6 &gt; AVERAGE(H6:H25), "↑ Meningkat", IF(H6&lt; AVERAGE(H6:H25), "↓ Menurun", "→ Stabil"))</f>
        <v>↑ Meningkat</v>
      </c>
      <c r="M6" s="31"/>
    </row>
    <row r="7" spans="1:14" x14ac:dyDescent="0.3">
      <c r="A7" s="28" t="s">
        <v>143</v>
      </c>
      <c r="B7" s="28" t="s">
        <v>144</v>
      </c>
      <c r="C7" s="28" t="s">
        <v>52</v>
      </c>
      <c r="D7" s="29">
        <v>1.81</v>
      </c>
      <c r="E7" s="29">
        <v>1.81</v>
      </c>
      <c r="F7" s="29">
        <v>1.94</v>
      </c>
      <c r="G7" s="29">
        <v>1.81</v>
      </c>
      <c r="H7" s="29">
        <v>1.44</v>
      </c>
      <c r="I7" s="29"/>
      <c r="J7" s="29"/>
      <c r="K7" s="29"/>
      <c r="L7" s="30"/>
      <c r="M7" s="32"/>
    </row>
    <row r="8" spans="1:14" x14ac:dyDescent="0.3">
      <c r="A8" s="28" t="s">
        <v>145</v>
      </c>
      <c r="B8" s="28" t="s">
        <v>146</v>
      </c>
      <c r="C8" s="28" t="s">
        <v>52</v>
      </c>
      <c r="D8" s="29">
        <v>2.12</v>
      </c>
      <c r="E8" s="29">
        <v>1.81</v>
      </c>
      <c r="F8" s="29">
        <v>1.94</v>
      </c>
      <c r="G8" s="29">
        <v>1.44</v>
      </c>
      <c r="H8" s="29">
        <v>1.75</v>
      </c>
      <c r="I8" s="29"/>
      <c r="J8" s="29"/>
      <c r="K8" s="29"/>
      <c r="L8" s="30"/>
      <c r="M8" s="33"/>
    </row>
    <row r="9" spans="1:14" x14ac:dyDescent="0.3">
      <c r="A9" s="28" t="s">
        <v>148</v>
      </c>
      <c r="B9" s="28" t="s">
        <v>149</v>
      </c>
      <c r="C9" s="28" t="s">
        <v>52</v>
      </c>
      <c r="D9" s="29">
        <v>1.69</v>
      </c>
      <c r="E9" s="29">
        <v>1.88</v>
      </c>
      <c r="F9" s="29">
        <v>1.62</v>
      </c>
      <c r="G9" s="29">
        <v>1.69</v>
      </c>
      <c r="H9" s="29">
        <v>1.69</v>
      </c>
      <c r="I9" s="29"/>
      <c r="J9" s="29"/>
      <c r="K9" s="29"/>
      <c r="L9" s="30"/>
      <c r="M9" s="32"/>
    </row>
    <row r="10" spans="1:14" x14ac:dyDescent="0.3">
      <c r="A10" s="28" t="s">
        <v>150</v>
      </c>
      <c r="B10" s="28" t="s">
        <v>151</v>
      </c>
      <c r="C10" s="28" t="s">
        <v>52</v>
      </c>
      <c r="D10" s="29">
        <v>2.06</v>
      </c>
      <c r="E10" s="29">
        <v>1.88</v>
      </c>
      <c r="F10" s="29">
        <v>1.75</v>
      </c>
      <c r="G10" s="29">
        <v>1.81</v>
      </c>
      <c r="H10" s="29">
        <v>1.62</v>
      </c>
      <c r="I10" s="29"/>
      <c r="J10" s="29"/>
      <c r="K10" s="29"/>
      <c r="L10" s="30"/>
      <c r="M10" s="33"/>
    </row>
    <row r="11" spans="1:14" x14ac:dyDescent="0.3">
      <c r="A11" s="28" t="s">
        <v>152</v>
      </c>
      <c r="B11" s="28" t="s">
        <v>153</v>
      </c>
      <c r="C11" s="28" t="s">
        <v>52</v>
      </c>
      <c r="D11" s="29">
        <v>1.62</v>
      </c>
      <c r="E11" s="29">
        <v>1.44</v>
      </c>
      <c r="F11" s="29">
        <v>1.25</v>
      </c>
      <c r="G11" s="29">
        <v>1.75</v>
      </c>
      <c r="H11" s="29">
        <v>1.62</v>
      </c>
      <c r="I11" s="29"/>
      <c r="J11" s="29"/>
      <c r="K11" s="29"/>
      <c r="L11" s="30"/>
      <c r="M11" s="31"/>
    </row>
    <row r="12" spans="1:14" x14ac:dyDescent="0.3">
      <c r="A12" s="28" t="s">
        <v>154</v>
      </c>
      <c r="B12" s="28" t="s">
        <v>155</v>
      </c>
      <c r="C12" s="28" t="s">
        <v>52</v>
      </c>
      <c r="D12" s="29">
        <v>1.81</v>
      </c>
      <c r="E12" s="29">
        <v>1.75</v>
      </c>
      <c r="F12" s="29">
        <v>1.75</v>
      </c>
      <c r="G12" s="29">
        <v>1.81</v>
      </c>
      <c r="H12" s="29">
        <v>1.62</v>
      </c>
      <c r="I12" s="29"/>
      <c r="J12" s="29"/>
      <c r="K12" s="29"/>
      <c r="L12" s="30"/>
      <c r="M12" s="32"/>
    </row>
    <row r="13" spans="1:14" x14ac:dyDescent="0.3">
      <c r="A13" s="28" t="s">
        <v>156</v>
      </c>
      <c r="B13" s="28" t="s">
        <v>157</v>
      </c>
      <c r="C13" s="28" t="s">
        <v>52</v>
      </c>
      <c r="D13" s="29">
        <v>1.62</v>
      </c>
      <c r="E13" s="29">
        <v>1.69</v>
      </c>
      <c r="F13" s="29">
        <v>1.81</v>
      </c>
      <c r="G13" s="29">
        <v>1.44</v>
      </c>
      <c r="H13" s="29">
        <v>1.88</v>
      </c>
      <c r="I13" s="29"/>
      <c r="J13" s="29"/>
      <c r="K13" s="29"/>
      <c r="L13" s="30"/>
      <c r="M13" s="33"/>
    </row>
    <row r="14" spans="1:14" x14ac:dyDescent="0.3">
      <c r="A14" s="28" t="s">
        <v>158</v>
      </c>
      <c r="B14" s="28" t="s">
        <v>159</v>
      </c>
      <c r="C14" s="28" t="s">
        <v>52</v>
      </c>
      <c r="D14" s="29">
        <v>1.69</v>
      </c>
      <c r="E14" s="29">
        <v>1.62</v>
      </c>
      <c r="F14" s="29">
        <v>1.62</v>
      </c>
      <c r="G14" s="29">
        <v>1.1000000000000001</v>
      </c>
      <c r="H14" s="29">
        <v>1.81</v>
      </c>
      <c r="I14" s="29"/>
      <c r="J14" s="29"/>
      <c r="K14" s="29"/>
      <c r="L14" s="30"/>
      <c r="M14" s="33"/>
    </row>
    <row r="15" spans="1:14" x14ac:dyDescent="0.3">
      <c r="A15" s="28" t="s">
        <v>160</v>
      </c>
      <c r="B15" s="28" t="s">
        <v>161</v>
      </c>
      <c r="C15" s="28" t="s">
        <v>52</v>
      </c>
      <c r="D15" s="29">
        <v>1.31</v>
      </c>
      <c r="E15" s="29">
        <v>1.62</v>
      </c>
      <c r="F15" s="29">
        <v>1.62</v>
      </c>
      <c r="G15" s="29">
        <v>1.19</v>
      </c>
      <c r="H15" s="29">
        <v>1.69</v>
      </c>
      <c r="I15" s="29"/>
      <c r="J15" s="29"/>
      <c r="K15" s="29"/>
      <c r="L15" s="30"/>
      <c r="M15" s="33"/>
    </row>
    <row r="16" spans="1:14" x14ac:dyDescent="0.3">
      <c r="A16" s="28" t="s">
        <v>163</v>
      </c>
      <c r="B16" s="28" t="s">
        <v>164</v>
      </c>
      <c r="C16" s="28" t="s">
        <v>52</v>
      </c>
      <c r="D16" s="29">
        <v>1.5</v>
      </c>
      <c r="E16" s="29">
        <v>1.62</v>
      </c>
      <c r="F16" s="29">
        <v>1.81</v>
      </c>
      <c r="G16" s="29">
        <v>1.69</v>
      </c>
      <c r="H16" s="29">
        <v>1.75</v>
      </c>
      <c r="I16" s="29"/>
      <c r="J16" s="29"/>
      <c r="K16" s="29"/>
      <c r="L16" s="30"/>
      <c r="M16" s="31"/>
    </row>
    <row r="17" spans="1:13" x14ac:dyDescent="0.3">
      <c r="A17" s="28" t="s">
        <v>165</v>
      </c>
      <c r="B17" s="28" t="s">
        <v>166</v>
      </c>
      <c r="C17" s="28" t="s">
        <v>52</v>
      </c>
      <c r="D17" s="29">
        <v>1.88</v>
      </c>
      <c r="E17" s="29">
        <v>1.88</v>
      </c>
      <c r="F17" s="29">
        <v>1.69</v>
      </c>
      <c r="G17" s="29">
        <v>2.12</v>
      </c>
      <c r="H17" s="29">
        <v>1.75</v>
      </c>
      <c r="I17" s="29"/>
      <c r="J17" s="29"/>
      <c r="K17" s="29"/>
      <c r="L17" s="30"/>
      <c r="M17" s="31"/>
    </row>
    <row r="18" spans="1:13" x14ac:dyDescent="0.3">
      <c r="A18" s="28" t="s">
        <v>167</v>
      </c>
      <c r="B18" s="28" t="s">
        <v>168</v>
      </c>
      <c r="C18" s="28" t="s">
        <v>52</v>
      </c>
      <c r="D18" s="29">
        <v>1.69</v>
      </c>
      <c r="E18" s="29">
        <v>1.5</v>
      </c>
      <c r="F18" s="29">
        <v>1.75</v>
      </c>
      <c r="G18" s="29">
        <v>1.75</v>
      </c>
      <c r="H18" s="29">
        <v>1.56</v>
      </c>
      <c r="I18" s="29"/>
      <c r="J18" s="29"/>
      <c r="K18" s="29"/>
      <c r="L18" s="30"/>
      <c r="M18" s="32"/>
    </row>
    <row r="19" spans="1:13" x14ac:dyDescent="0.3">
      <c r="A19" s="28" t="s">
        <v>169</v>
      </c>
      <c r="B19" s="28" t="s">
        <v>170</v>
      </c>
      <c r="C19" s="28" t="s">
        <v>52</v>
      </c>
      <c r="D19" s="29">
        <v>1.62</v>
      </c>
      <c r="E19" s="29">
        <v>1.38</v>
      </c>
      <c r="F19" s="29">
        <v>1.75</v>
      </c>
      <c r="G19" s="29">
        <v>1.56</v>
      </c>
      <c r="H19" s="29">
        <v>1.5</v>
      </c>
      <c r="I19" s="29"/>
      <c r="J19" s="29"/>
      <c r="K19" s="29"/>
      <c r="L19" s="30"/>
      <c r="M19" s="32"/>
    </row>
    <row r="20" spans="1:13" x14ac:dyDescent="0.3">
      <c r="A20" s="28" t="s">
        <v>171</v>
      </c>
      <c r="B20" s="28" t="s">
        <v>172</v>
      </c>
      <c r="C20" s="28" t="s">
        <v>52</v>
      </c>
      <c r="D20" s="29">
        <v>1.19</v>
      </c>
      <c r="E20" s="29">
        <v>1.19</v>
      </c>
      <c r="F20" s="29">
        <v>1.56</v>
      </c>
      <c r="G20" s="29">
        <v>1.31</v>
      </c>
      <c r="H20" s="29">
        <v>2.12</v>
      </c>
      <c r="I20" s="29"/>
      <c r="J20" s="29"/>
      <c r="K20" s="29"/>
      <c r="L20" s="30"/>
      <c r="M20" s="31"/>
    </row>
    <row r="21" spans="1:13" x14ac:dyDescent="0.3">
      <c r="A21" s="28" t="s">
        <v>173</v>
      </c>
      <c r="B21" s="28" t="s">
        <v>174</v>
      </c>
      <c r="C21" s="28" t="s">
        <v>52</v>
      </c>
      <c r="D21" s="29">
        <v>1.69</v>
      </c>
      <c r="E21" s="29">
        <v>1.69</v>
      </c>
      <c r="F21" s="29">
        <v>1.5</v>
      </c>
      <c r="G21" s="29">
        <v>1.75</v>
      </c>
      <c r="H21" s="29">
        <v>1.56</v>
      </c>
      <c r="I21" s="29"/>
      <c r="J21" s="29"/>
      <c r="K21" s="29"/>
      <c r="L21" s="30"/>
      <c r="M21" s="32"/>
    </row>
    <row r="22" spans="1:13" x14ac:dyDescent="0.3">
      <c r="A22" s="28" t="s">
        <v>175</v>
      </c>
      <c r="B22" s="28" t="s">
        <v>176</v>
      </c>
      <c r="C22" s="28" t="s">
        <v>52</v>
      </c>
      <c r="D22" s="29">
        <v>1.69</v>
      </c>
      <c r="E22" s="29">
        <v>1.88</v>
      </c>
      <c r="F22" s="29">
        <v>2.12</v>
      </c>
      <c r="G22" s="29">
        <v>1.88</v>
      </c>
      <c r="H22" s="29">
        <v>2.12</v>
      </c>
      <c r="I22" s="29"/>
      <c r="J22" s="29"/>
      <c r="K22" s="29"/>
      <c r="L22" s="30"/>
      <c r="M22" s="31"/>
    </row>
    <row r="23" spans="1:13" x14ac:dyDescent="0.3">
      <c r="A23" s="28" t="s">
        <v>177</v>
      </c>
      <c r="B23" s="28" t="s">
        <v>178</v>
      </c>
      <c r="C23" s="28" t="s">
        <v>52</v>
      </c>
      <c r="D23" s="29">
        <v>1.56</v>
      </c>
      <c r="E23" s="29">
        <v>1.62</v>
      </c>
      <c r="F23" s="29">
        <v>1.56</v>
      </c>
      <c r="G23" s="29">
        <v>1.75</v>
      </c>
      <c r="H23" s="29">
        <v>1.88</v>
      </c>
      <c r="I23" s="29"/>
      <c r="J23" s="29"/>
      <c r="K23" s="29"/>
      <c r="L23" s="30"/>
      <c r="M23" s="31"/>
    </row>
    <row r="24" spans="1:13" x14ac:dyDescent="0.3">
      <c r="A24" s="28" t="s">
        <v>179</v>
      </c>
      <c r="B24" s="28" t="s">
        <v>180</v>
      </c>
      <c r="C24" s="28" t="s">
        <v>52</v>
      </c>
      <c r="D24" s="29">
        <v>1.75</v>
      </c>
      <c r="E24" s="29">
        <v>1.94</v>
      </c>
      <c r="F24" s="29">
        <v>2.12</v>
      </c>
      <c r="G24" s="29">
        <v>1.75</v>
      </c>
      <c r="H24" s="29">
        <v>2.1</v>
      </c>
      <c r="I24" s="29"/>
      <c r="J24" s="29"/>
      <c r="K24" s="29"/>
      <c r="L24" s="30"/>
      <c r="M24" s="32"/>
    </row>
    <row r="25" spans="1:13" x14ac:dyDescent="0.3">
      <c r="A25" s="28" t="s">
        <v>181</v>
      </c>
      <c r="B25" s="28" t="s">
        <v>182</v>
      </c>
      <c r="C25" s="28" t="s">
        <v>52</v>
      </c>
      <c r="D25" s="29">
        <v>1.94</v>
      </c>
      <c r="E25" s="29">
        <v>2</v>
      </c>
      <c r="F25" s="29">
        <v>1.88</v>
      </c>
      <c r="G25" s="29">
        <v>2</v>
      </c>
      <c r="H25" s="29">
        <v>2</v>
      </c>
      <c r="I25" s="29"/>
      <c r="J25" s="29"/>
      <c r="K25" s="29"/>
      <c r="L25" s="30"/>
      <c r="M25" s="32"/>
    </row>
  </sheetData>
  <mergeCells count="3">
    <mergeCell ref="A3:N3"/>
    <mergeCell ref="A2:N2"/>
    <mergeCell ref="A1:N1"/>
  </mergeCells>
  <conditionalFormatting sqref="L6:L2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K5:K2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CHART SELECTION GUIDE</vt:lpstr>
      <vt:lpstr>2. DATA SOURCE</vt:lpstr>
      <vt:lpstr>3. BASIC CHARTS</vt:lpstr>
      <vt:lpstr>4. FORMATTING CHARTS</vt:lpstr>
      <vt:lpstr>5. CF VISUALIZATION</vt:lpstr>
      <vt:lpstr>6. SPARKLINES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Hafizah Bahaludin</cp:lastModifiedBy>
  <dcterms:created xsi:type="dcterms:W3CDTF">2026-05-04T04:07:21Z</dcterms:created>
  <dcterms:modified xsi:type="dcterms:W3CDTF">2026-05-04T06:57:35Z</dcterms:modified>
</cp:coreProperties>
</file>