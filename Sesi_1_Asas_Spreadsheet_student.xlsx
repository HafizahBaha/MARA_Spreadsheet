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f4e0daa8d158344/Activity/2026/Speaker Mara/Material/"/>
    </mc:Choice>
  </mc:AlternateContent>
  <xr:revisionPtr revIDLastSave="72" documentId="11_AA55398710A40CA3C2AED0807132D7DB85C1F5B6" xr6:coauthVersionLast="47" xr6:coauthVersionMax="47" xr10:uidLastSave="{3A0303AF-6A54-4D6C-BECC-2344ED22892F}"/>
  <bookViews>
    <workbookView xWindow="-108" yWindow="-108" windowWidth="23256" windowHeight="12456" firstSheet="3" activeTab="7" xr2:uid="{00000000-000D-0000-FFFF-FFFF00000000}"/>
  </bookViews>
  <sheets>
    <sheet name="DataMentah" sheetId="8" r:id="rId1"/>
    <sheet name="MasukDataManual" sheetId="5" r:id="rId2"/>
    <sheet name="DataValidation" sheetId="6" r:id="rId3"/>
    <sheet name="MasukDataForm" sheetId="7" r:id="rId4"/>
    <sheet name="SENARAI PELAJAR" sheetId="1" r:id="rId5"/>
    <sheet name="JENIS DATA" sheetId="2" r:id="rId6"/>
    <sheet name="AUTOFILL &amp; FLASHFILL" sheetId="3" r:id="rId7"/>
    <sheet name="FREEZE &amp; MERGE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5" l="1" a="1"/>
  <c r="O2" i="5"/>
  <c r="K45" i="4"/>
  <c r="L45" i="4" s="1"/>
  <c r="J45" i="4"/>
  <c r="K44" i="4"/>
  <c r="L44" i="4" s="1"/>
  <c r="J44" i="4"/>
  <c r="K43" i="4"/>
  <c r="L43" i="4" s="1"/>
  <c r="J43" i="4"/>
  <c r="K42" i="4"/>
  <c r="L42" i="4" s="1"/>
  <c r="J42" i="4"/>
  <c r="K41" i="4"/>
  <c r="L41" i="4" s="1"/>
  <c r="J41" i="4"/>
  <c r="K40" i="4"/>
  <c r="L40" i="4" s="1"/>
  <c r="J40" i="4"/>
  <c r="K39" i="4"/>
  <c r="L39" i="4" s="1"/>
  <c r="J39" i="4"/>
  <c r="K38" i="4"/>
  <c r="L38" i="4" s="1"/>
  <c r="J38" i="4"/>
  <c r="K37" i="4"/>
  <c r="L37" i="4" s="1"/>
  <c r="J37" i="4"/>
  <c r="K36" i="4"/>
  <c r="L36" i="4" s="1"/>
  <c r="J36" i="4"/>
  <c r="K35" i="4"/>
  <c r="L35" i="4" s="1"/>
  <c r="J35" i="4"/>
  <c r="K34" i="4"/>
  <c r="L34" i="4" s="1"/>
  <c r="J34" i="4"/>
  <c r="K33" i="4"/>
  <c r="L33" i="4" s="1"/>
  <c r="J33" i="4"/>
  <c r="K32" i="4"/>
  <c r="L32" i="4" s="1"/>
  <c r="J32" i="4"/>
  <c r="K31" i="4"/>
  <c r="L31" i="4" s="1"/>
  <c r="J31" i="4"/>
  <c r="K30" i="4"/>
  <c r="L30" i="4" s="1"/>
  <c r="J30" i="4"/>
  <c r="K29" i="4"/>
  <c r="L29" i="4" s="1"/>
  <c r="J29" i="4"/>
  <c r="K28" i="4"/>
  <c r="L28" i="4" s="1"/>
  <c r="J28" i="4"/>
  <c r="K27" i="4"/>
  <c r="L27" i="4" s="1"/>
  <c r="J27" i="4"/>
  <c r="K26" i="4"/>
  <c r="L26" i="4" s="1"/>
  <c r="J26" i="4"/>
  <c r="K25" i="4"/>
  <c r="L25" i="4" s="1"/>
  <c r="J25" i="4"/>
  <c r="K24" i="4"/>
  <c r="L24" i="4" s="1"/>
  <c r="J24" i="4"/>
  <c r="K23" i="4"/>
  <c r="L23" i="4" s="1"/>
  <c r="J23" i="4"/>
  <c r="K22" i="4"/>
  <c r="L22" i="4" s="1"/>
  <c r="J22" i="4"/>
  <c r="K21" i="4"/>
  <c r="L21" i="4" s="1"/>
  <c r="J21" i="4"/>
  <c r="K20" i="4"/>
  <c r="L20" i="4" s="1"/>
  <c r="J20" i="4"/>
  <c r="K19" i="4"/>
  <c r="L19" i="4" s="1"/>
  <c r="J19" i="4"/>
  <c r="K18" i="4"/>
  <c r="L18" i="4" s="1"/>
  <c r="J18" i="4"/>
  <c r="K17" i="4"/>
  <c r="L17" i="4" s="1"/>
  <c r="J17" i="4"/>
  <c r="K16" i="4"/>
  <c r="L16" i="4" s="1"/>
  <c r="J16" i="4"/>
  <c r="K15" i="4"/>
  <c r="L15" i="4" s="1"/>
  <c r="J15" i="4"/>
  <c r="K14" i="4"/>
  <c r="L14" i="4" s="1"/>
  <c r="J14" i="4"/>
  <c r="K13" i="4"/>
  <c r="L13" i="4" s="1"/>
  <c r="J13" i="4"/>
  <c r="K12" i="4"/>
  <c r="L12" i="4" s="1"/>
  <c r="J12" i="4"/>
  <c r="K11" i="4"/>
  <c r="L11" i="4" s="1"/>
  <c r="J11" i="4"/>
  <c r="K10" i="4"/>
  <c r="L10" i="4" s="1"/>
  <c r="J10" i="4"/>
  <c r="K9" i="4"/>
  <c r="L9" i="4" s="1"/>
  <c r="J9" i="4"/>
  <c r="K8" i="4"/>
  <c r="L8" i="4" s="1"/>
  <c r="J8" i="4"/>
  <c r="K7" i="4"/>
  <c r="L7" i="4" s="1"/>
  <c r="J7" i="4"/>
  <c r="K6" i="4"/>
  <c r="L6" i="4" s="1"/>
  <c r="J6" i="4"/>
  <c r="C10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<sst xmlns="http://schemas.openxmlformats.org/spreadsheetml/2006/main" count="850" uniqueCount="333">
  <si>
    <t>SENARAI PELAJAR MRSM KUANTAN — TINGKATAN 2 (2024)</t>
  </si>
  <si>
    <t>📌 ARAHAN: Isi baris 6–45 menggunakan AutoFill untuk No. Maktab dan FlashFill untuk nama pendek. Freeze row 5 supaya header sentiasa kelihatan.</t>
  </si>
  <si>
    <t>Bil.</t>
  </si>
  <si>
    <t>No. Maktab</t>
  </si>
  <si>
    <t>Nama Penuh Pelajar</t>
  </si>
  <si>
    <t>Nama Pendek
(FlashFill)</t>
  </si>
  <si>
    <t>Jantina</t>
  </si>
  <si>
    <t>Kelas</t>
  </si>
  <si>
    <t>Homeroom</t>
  </si>
  <si>
    <t>Negeri Asal</t>
  </si>
  <si>
    <t>Tahun Masuk</t>
  </si>
  <si>
    <t>Status Asrama</t>
  </si>
  <si>
    <t>NT2411001</t>
  </si>
  <si>
    <t>Muhammad Irfan bin Mohd Zaidi</t>
  </si>
  <si>
    <t>Muhammad</t>
  </si>
  <si>
    <t>Lelaki</t>
  </si>
  <si>
    <t>Ibnu Khaldun</t>
  </si>
  <si>
    <t>Bijaksana</t>
  </si>
  <si>
    <t>Johor</t>
  </si>
  <si>
    <t>Penuh</t>
  </si>
  <si>
    <t>NT2411002</t>
  </si>
  <si>
    <t>Anis Syafiqah binti Khairul</t>
  </si>
  <si>
    <t>Anis</t>
  </si>
  <si>
    <t>Perempuan</t>
  </si>
  <si>
    <t>Karisma</t>
  </si>
  <si>
    <t>Perak</t>
  </si>
  <si>
    <t>NT2411003</t>
  </si>
  <si>
    <t>Danial Haris bin Norzaini</t>
  </si>
  <si>
    <t>Danial</t>
  </si>
  <si>
    <t>Falah</t>
  </si>
  <si>
    <t>Kedah</t>
  </si>
  <si>
    <t>NT2411004</t>
  </si>
  <si>
    <t>Nurul Huda binti Rashid</t>
  </si>
  <si>
    <t>Nurul</t>
  </si>
  <si>
    <t>Tekun</t>
  </si>
  <si>
    <t>Pahang</t>
  </si>
  <si>
    <t>NT2411005</t>
  </si>
  <si>
    <t>Iqbal Haziq bin Zulkifli</t>
  </si>
  <si>
    <t>Iqbal</t>
  </si>
  <si>
    <t>Terengganu</t>
  </si>
  <si>
    <t>Separuh</t>
  </si>
  <si>
    <t>NT2411006</t>
  </si>
  <si>
    <t>Irdina Balqis binti Hasrul</t>
  </si>
  <si>
    <t>Irdina</t>
  </si>
  <si>
    <t>Kelantan</t>
  </si>
  <si>
    <t>NT2411007</t>
  </si>
  <si>
    <t>Hafiy Naqib bin Mansor</t>
  </si>
  <si>
    <t>Hafiy</t>
  </si>
  <si>
    <t>Sabah</t>
  </si>
  <si>
    <t>NT2411008</t>
  </si>
  <si>
    <t>Aishah Humaira binti Sahril</t>
  </si>
  <si>
    <t>Aishah</t>
  </si>
  <si>
    <t>Sarawak</t>
  </si>
  <si>
    <t>NT2411009</t>
  </si>
  <si>
    <t>Luqman Hakim bin Azman</t>
  </si>
  <si>
    <t>Luqman</t>
  </si>
  <si>
    <t>N.Sembilan</t>
  </si>
  <si>
    <t>NT2411010</t>
  </si>
  <si>
    <t>Afiqah Zulaikha binti Fadzillah</t>
  </si>
  <si>
    <t>Afiqah</t>
  </si>
  <si>
    <t>Melaka</t>
  </si>
  <si>
    <t>NT2411011</t>
  </si>
  <si>
    <t>Harith Zikry bin Jamaludin</t>
  </si>
  <si>
    <t>Harith</t>
  </si>
  <si>
    <t>Perlis</t>
  </si>
  <si>
    <t>NT2411012</t>
  </si>
  <si>
    <t>Izzah Syamimi binti Sharifudin</t>
  </si>
  <si>
    <t>Izzah</t>
  </si>
  <si>
    <t>Selangor</t>
  </si>
  <si>
    <t>NT2411013</t>
  </si>
  <si>
    <t>Rayyan Adib bin Kamaruddin</t>
  </si>
  <si>
    <t>Rayyan</t>
  </si>
  <si>
    <t>NT2411014</t>
  </si>
  <si>
    <t>Yasmin Aliya binti Nordin</t>
  </si>
  <si>
    <t>Yasmin</t>
  </si>
  <si>
    <t>NT2411015</t>
  </si>
  <si>
    <t>Ikmal Hazwan bin Ahmad</t>
  </si>
  <si>
    <t>Ikmal</t>
  </si>
  <si>
    <t>NT2411016</t>
  </si>
  <si>
    <t>Balqis Athirah binti Mohd Zaidi</t>
  </si>
  <si>
    <t>Balqis</t>
  </si>
  <si>
    <t>NT2411017</t>
  </si>
  <si>
    <t>Hazim Afiq bin Khairul</t>
  </si>
  <si>
    <t>Hazim</t>
  </si>
  <si>
    <t>NT2411018</t>
  </si>
  <si>
    <t>Nurfatin Adila binti Norzaini</t>
  </si>
  <si>
    <t>Nurfatin</t>
  </si>
  <si>
    <t>NT2411019</t>
  </si>
  <si>
    <t>Muaz Hazwan bin Rashid</t>
  </si>
  <si>
    <t>Muaz</t>
  </si>
  <si>
    <t>NT2411020</t>
  </si>
  <si>
    <t>Izzati Nabila binti Zulkifli</t>
  </si>
  <si>
    <t>Izzati</t>
  </si>
  <si>
    <t>NT2411021</t>
  </si>
  <si>
    <t>Fikri Zahin bin Hasrul</t>
  </si>
  <si>
    <t>Fikri</t>
  </si>
  <si>
    <t>NT2411022</t>
  </si>
  <si>
    <t>Wardah Nabilah binti Mansor</t>
  </si>
  <si>
    <t>Wardah</t>
  </si>
  <si>
    <t>NT2411023</t>
  </si>
  <si>
    <t>Izzul Hakim bin Sahril</t>
  </si>
  <si>
    <t>Izzul</t>
  </si>
  <si>
    <t>NT2411024</t>
  </si>
  <si>
    <t>Amani Safiyya binti Azman</t>
  </si>
  <si>
    <t>Amani</t>
  </si>
  <si>
    <t>NT2411025</t>
  </si>
  <si>
    <t>Ahmad Faris bin Fadzillah</t>
  </si>
  <si>
    <t>Ahmad</t>
  </si>
  <si>
    <t>NT2411026</t>
  </si>
  <si>
    <t>Siti Rahmah binti Jamaludin</t>
  </si>
  <si>
    <t>Siti</t>
  </si>
  <si>
    <t>NT2411027</t>
  </si>
  <si>
    <t>Aiman Hakim bin Sharifudin</t>
  </si>
  <si>
    <t>Aiman</t>
  </si>
  <si>
    <t>NT2411028</t>
  </si>
  <si>
    <t>Fatin Izzati binti Kamaruddin</t>
  </si>
  <si>
    <t>Fatin</t>
  </si>
  <si>
    <t>NT2411029</t>
  </si>
  <si>
    <t>Arif Syamil bin Nordin</t>
  </si>
  <si>
    <t>Arif</t>
  </si>
  <si>
    <t>NT2411030</t>
  </si>
  <si>
    <t>Sofea Damia binti Ahmad</t>
  </si>
  <si>
    <t>Sofea</t>
  </si>
  <si>
    <t>NT2411031</t>
  </si>
  <si>
    <t>Zulhilmi Azri bin Mohd Zaidi</t>
  </si>
  <si>
    <t>Zulhilmi</t>
  </si>
  <si>
    <t>NT2411032</t>
  </si>
  <si>
    <t>Qaisara Nadia binti Khairul</t>
  </si>
  <si>
    <t>Qaisara</t>
  </si>
  <si>
    <t>NT2411033</t>
  </si>
  <si>
    <t>Syafiq Amri bin Norzaini</t>
  </si>
  <si>
    <t>Syafiq</t>
  </si>
  <si>
    <t>NT2411034</t>
  </si>
  <si>
    <t>Dhiya Farhana binti Rashid</t>
  </si>
  <si>
    <t>Dhiya</t>
  </si>
  <si>
    <t>NT2411035</t>
  </si>
  <si>
    <t>Ridhwan Azfar bin Zulkifli</t>
  </si>
  <si>
    <t>Ridhwan</t>
  </si>
  <si>
    <t>NT2411036</t>
  </si>
  <si>
    <t>Nadhirah Insyirah binti Hasrul</t>
  </si>
  <si>
    <t>Nadhirah</t>
  </si>
  <si>
    <t>NT2411037</t>
  </si>
  <si>
    <t>Faiq Nabil bin Mansor</t>
  </si>
  <si>
    <t>Faiq</t>
  </si>
  <si>
    <t>NT2411038</t>
  </si>
  <si>
    <t>Arina Batrisyia binti Sahril</t>
  </si>
  <si>
    <t>Arina</t>
  </si>
  <si>
    <t>NT2411039</t>
  </si>
  <si>
    <t>Amsyar Dani bin Azman</t>
  </si>
  <si>
    <t>Amsyar</t>
  </si>
  <si>
    <t>NT2411040</t>
  </si>
  <si>
    <t>Ummi Kalthum binti Fadzillah</t>
  </si>
  <si>
    <t>Ummi</t>
  </si>
  <si>
    <t>JENIS DATA DALAM SPREADSHEET — KONTEKS DATA MRSM</t>
  </si>
  <si>
    <t>Latihan: Kenal pasti jenis data (Teks, Nombor, Tarikh, Formula) | W2 — Type of Data</t>
  </si>
  <si>
    <t>📌 ARAHAN: Lihat data di bawah dan kenal pasti jenis data di lajur D. Kemudian isi lajur E dengan contoh data MRSM anda sendiri.</t>
  </si>
  <si>
    <t>Contoh Data</t>
  </si>
  <si>
    <t>Nilai</t>
  </si>
  <si>
    <t>Jenis Data</t>
  </si>
  <si>
    <t>Contoh Anda</t>
  </si>
  <si>
    <t>Penerangan</t>
  </si>
  <si>
    <t>Nama Pelajar</t>
  </si>
  <si>
    <t>Ahmad Faris Bin Ahmad</t>
  </si>
  <si>
    <t>Teks (Text)</t>
  </si>
  <si>
    <t>Data yang mengandungi huruf</t>
  </si>
  <si>
    <t>NT2401001</t>
  </si>
  <si>
    <t>Nombor yang tidak dikira</t>
  </si>
  <si>
    <t>Markah Matematik</t>
  </si>
  <si>
    <t>Nombor (Number)</t>
  </si>
  <si>
    <t>Nilai yang boleh dikira</t>
  </si>
  <si>
    <t>Tarikh Peperiksaan</t>
  </si>
  <si>
    <t>15/03/2024</t>
  </si>
  <si>
    <t>Tarikh (Date)</t>
  </si>
  <si>
    <t>Format: DD/MM/YYYY</t>
  </si>
  <si>
    <t>Jumlah Markah</t>
  </si>
  <si>
    <t>Formula</t>
  </si>
  <si>
    <t>Pengiraan automatik</t>
  </si>
  <si>
    <t>Peratus Lulus</t>
  </si>
  <si>
    <t>91.5%</t>
  </si>
  <si>
    <t>Peratusan (%)</t>
  </si>
  <si>
    <t>Nombor dalam format %</t>
  </si>
  <si>
    <t>Status Kehadiran</t>
  </si>
  <si>
    <t>Hadir</t>
  </si>
  <si>
    <t>Pilihan: Hadir / Ponteng</t>
  </si>
  <si>
    <t>GPA Pelajar</t>
  </si>
  <si>
    <t>Nombor Perpuluhan</t>
  </si>
  <si>
    <t>Nombor dengan titik perpuluhan</t>
  </si>
  <si>
    <t>AUTOFILL &amp; FLASHFILL — LATIHAN DENGAN DATA PELAJAR</t>
  </si>
  <si>
    <t>Latihan: Jana No. Maktab berjujukan dengan AutoFill, pisahkan nama dengan FlashFill | W2</t>
  </si>
  <si>
    <t>📌 AUTOFILL: Taip NT2401001 di B6, NT2401002 di B7, pilih kedua-duanya, seret pemegang isi ke B45 untuk jana 40 nombor. FLASHFILL: Taip Ahmad di D6, tekan Ctrl+E untuk isi automatik.</t>
  </si>
  <si>
    <t>No. Maktab (AutoFill)</t>
  </si>
  <si>
    <t>Nama Penuh</t>
  </si>
  <si>
    <t>Nama Pertama (FlashFill)</t>
  </si>
  <si>
    <t>Nama Akhir (FlashFill)</t>
  </si>
  <si>
    <t>FREEZE PANES &amp; MERGE CELLS — REKOD MARKAH PELAJAR</t>
  </si>
  <si>
    <t>📌 ARAHAN: (1) Klik sel A6, kemudian View &gt; Freeze Rows and Columns untuk freeze header. (2) Merge A1:L1 untuk tajuk sekolah.</t>
  </si>
  <si>
    <t>REKOD MARKAH UJIAN BULANAN — KELAS IBNU KHALDUN</t>
  </si>
  <si>
    <t>Matematik</t>
  </si>
  <si>
    <t>Fizik</t>
  </si>
  <si>
    <t>Kimia</t>
  </si>
  <si>
    <t>Biologi</t>
  </si>
  <si>
    <t>BM</t>
  </si>
  <si>
    <t>BI</t>
  </si>
  <si>
    <t>Jumlah</t>
  </si>
  <si>
    <t>Purata</t>
  </si>
  <si>
    <t>Gred</t>
  </si>
  <si>
    <t>KAEDAH 1: MASUK DATA SECARA MANUAL — AMALAN TERBAIK</t>
  </si>
  <si>
    <t>Latihan: Taip data pelajar dengan betul, gunakan pintasan, elak ralat biasa | Sesi 1 — Data Entry</t>
  </si>
  <si>
    <t>📌 ARAHAN: Isi jadual di bawah dengan data pelajar kelas anda. Ikut format yang ditetapkan: No. Maktab (NT22XXXX), Tarikh (DD/MM/YYYY), Markah (0-100 sahaja).</t>
  </si>
  <si>
    <t>💡 TIPS MASUK DATA MANUAL: (1) Tab untuk ke sel seterusnya  (2) Ctrl+D salin ke bawah  (3) Ctrl+; untuk tarikh hari ini  (4) Ctrl+Z untuk undo  (5) F2 untuk edit sel</t>
  </si>
  <si>
    <t>Tarikh Lahir</t>
  </si>
  <si>
    <t>SEJ</t>
  </si>
  <si>
    <t>GEO</t>
  </si>
  <si>
    <t>PAI</t>
  </si>
  <si>
    <t>NT221069</t>
  </si>
  <si>
    <t>ABDUL AZIZ BIN ABDUL HALIM CHONG</t>
  </si>
  <si>
    <t>15/08/2009</t>
  </si>
  <si>
    <t>NT221098</t>
  </si>
  <si>
    <t>ADAM HARIS ZULQARNAIN BIN MOHD SHAHIR</t>
  </si>
  <si>
    <t>13/04/2009</t>
  </si>
  <si>
    <t>NT221051</t>
  </si>
  <si>
    <t>ADAM HARRIS BAHARIN BIN ABDUL HAKIM</t>
  </si>
  <si>
    <t>07/07/2009</t>
  </si>
  <si>
    <t>NT221086</t>
  </si>
  <si>
    <t>AFRINA UMAIRAH BINTI KAMARUZAMAN</t>
  </si>
  <si>
    <t>Harmonis</t>
  </si>
  <si>
    <t>19/02/2009</t>
  </si>
  <si>
    <t>NT221020</t>
  </si>
  <si>
    <t>AHMAD AR-RAYYAN BIN AHMAD AZHAR</t>
  </si>
  <si>
    <t>Hikmat</t>
  </si>
  <si>
    <t>03/03/2009</t>
  </si>
  <si>
    <t>NT220106</t>
  </si>
  <si>
    <t>IRDINA BALQIS BINTI KAMARUDDIN</t>
  </si>
  <si>
    <t>Bestari</t>
  </si>
  <si>
    <t>17/09/2009</t>
  </si>
  <si>
    <t>NT220107</t>
  </si>
  <si>
    <t>RAYYAN ADIB BIN SAHRIL</t>
  </si>
  <si>
    <t>Fatanah</t>
  </si>
  <si>
    <t>04/03/2009</t>
  </si>
  <si>
    <t>NT220108</t>
  </si>
  <si>
    <t>AISHAH HUMAIRA BINTI AZMAN</t>
  </si>
  <si>
    <t>Tabah</t>
  </si>
  <si>
    <t>25/04/2009</t>
  </si>
  <si>
    <t>NT220109</t>
  </si>
  <si>
    <t>SYAFIQ AMRI BIN JAMALUDIN</t>
  </si>
  <si>
    <t>Khidmat</t>
  </si>
  <si>
    <t>04/08/2009</t>
  </si>
  <si>
    <t>NT220110</t>
  </si>
  <si>
    <t>AFIQAH ZULAIKHA BINTI RASHID</t>
  </si>
  <si>
    <t>Syukur</t>
  </si>
  <si>
    <t>24/06/2009</t>
  </si>
  <si>
    <t>NT220111</t>
  </si>
  <si>
    <t>HARITH ZIKRY BIN KAMARUDDIN</t>
  </si>
  <si>
    <t>Amanah</t>
  </si>
  <si>
    <t>NT220112</t>
  </si>
  <si>
    <t>IZZAH SYAMIMI BINTI NORZAINI</t>
  </si>
  <si>
    <t>Gigih</t>
  </si>
  <si>
    <t>14/04/2009</t>
  </si>
  <si>
    <t>NT220113</t>
  </si>
  <si>
    <t>HARIZ AIMAN BIN AZMAN</t>
  </si>
  <si>
    <t>Ikhlas</t>
  </si>
  <si>
    <t>07/02/2009</t>
  </si>
  <si>
    <t>NT220114</t>
  </si>
  <si>
    <t>YASMIN ALIYA BINTI MANSOR</t>
  </si>
  <si>
    <t>Sabar</t>
  </si>
  <si>
    <t>26/09/2009</t>
  </si>
  <si>
    <t>NT220115</t>
  </si>
  <si>
    <t>AKMAL DANIAL BIN HASRUL</t>
  </si>
  <si>
    <t>Tawaduk</t>
  </si>
  <si>
    <t>12/08/2009</t>
  </si>
  <si>
    <t>NT220116</t>
  </si>
  <si>
    <t>BALQIS ATHIRAH BINTI ZULKIFLI</t>
  </si>
  <si>
    <t>09/09/2009</t>
  </si>
  <si>
    <t>NT220117</t>
  </si>
  <si>
    <t>AMSYAR DANI BIN SAHRIL</t>
  </si>
  <si>
    <t>NT220118</t>
  </si>
  <si>
    <t>NURFATIN ADILA BINTI SHARIFUDIN</t>
  </si>
  <si>
    <t>01/01/2009</t>
  </si>
  <si>
    <t>NT220119</t>
  </si>
  <si>
    <t>AIMAN HAKIM BIN KHAIRUL</t>
  </si>
  <si>
    <t>13/07/2009</t>
  </si>
  <si>
    <t>NT220120</t>
  </si>
  <si>
    <t>WARDAH NABILAH BINTI NORDIN</t>
  </si>
  <si>
    <t>13/02/2009</t>
  </si>
  <si>
    <t>NT220121</t>
  </si>
  <si>
    <t>HAFIY NAQIB BIN HASSAN</t>
  </si>
  <si>
    <t>12/06/2009</t>
  </si>
  <si>
    <t>NT220122</t>
  </si>
  <si>
    <t>SITI RAHMAH BINTI ZULKIFLI</t>
  </si>
  <si>
    <t>10/02/2009</t>
  </si>
  <si>
    <t>NT220123</t>
  </si>
  <si>
    <t>IKMAL HAZWAN BIN IBRAHIM</t>
  </si>
  <si>
    <t>14/05/2009</t>
  </si>
  <si>
    <t>NT220124</t>
  </si>
  <si>
    <t>FATIN IZZATI BINTI MANSOR</t>
  </si>
  <si>
    <t>08/02/2009</t>
  </si>
  <si>
    <t>NT220125</t>
  </si>
  <si>
    <t>LUQMAN HAKIM BIN RASHID</t>
  </si>
  <si>
    <t>21/07/2009</t>
  </si>
  <si>
    <t>KAEDAH 2: DATA VALIDATION — ELAK RALAT DENGAN PERATURAN</t>
  </si>
  <si>
    <t>Tetapkan peraturan: markah 0-100, kelas dari senarai, tarikh sahaja | Sesi 1</t>
  </si>
  <si>
    <t>📌 ARAHAN: Pilih lajur H (Markah BM), kemudian Data &gt; Data Validation &gt; Whole Number &gt; Min: 0 &gt; Max: 100. Cuba taip 150 — sistem akan tolak.</t>
  </si>
  <si>
    <t>Kelas (Dropdown)</t>
  </si>
  <si>
    <t>Markah BM (0-100)</t>
  </si>
  <si>
    <t>Tarikh Ujian</t>
  </si>
  <si>
    <t>Status (Dropdown)</t>
  </si>
  <si>
    <t>Catatan</t>
  </si>
  <si>
    <t>Lulus</t>
  </si>
  <si>
    <t>PERATURAN DATA VALIDATION YANG DICADANGKAN</t>
  </si>
  <si>
    <t>Lajur</t>
  </si>
  <si>
    <t>Lokasi</t>
  </si>
  <si>
    <t>Jenis Validation</t>
  </si>
  <si>
    <t>Syarat</t>
  </si>
  <si>
    <t>Mesej Ralat</t>
  </si>
  <si>
    <t>Tindakan</t>
  </si>
  <si>
    <t>Markah BM</t>
  </si>
  <si>
    <t>Lajur D</t>
  </si>
  <si>
    <t>Nombor Bulat</t>
  </si>
  <si>
    <t>Min: 0, Max: 100</t>
  </si>
  <si>
    <t>Input tidak diterima</t>
  </si>
  <si>
    <t>Lajur C</t>
  </si>
  <si>
    <t>Senarai (List)</t>
  </si>
  <si>
    <t>Ibnu Khaldun,Ibnu Battuta,...</t>
  </si>
  <si>
    <t>Bukan dalam senarai</t>
  </si>
  <si>
    <t>Tarikh</t>
  </si>
  <si>
    <t>Lajur E</t>
  </si>
  <si>
    <t>≥ 01/01/2022</t>
  </si>
  <si>
    <t>Tarikh tidak sah</t>
  </si>
  <si>
    <t>Status</t>
  </si>
  <si>
    <t>Lajur F</t>
  </si>
  <si>
    <t>Lulus,Gagal,TH (Tidak Hadir)</t>
  </si>
  <si>
    <t xml:space="preserve">KAEDAH 3: MASUK DATA SECARA FORM </t>
  </si>
  <si>
    <t xml:space="preserve">Latihan: Freeze baris header, Merge tajuk kelas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</si>
</sst>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b/>
      <sz val="9"/>
      <color rgb="FF663300"/>
      <name val="Arial"/>
    </font>
    <font>
      <b/>
      <sz val="9"/>
      <color rgb="FFFFFFFF"/>
      <name val="Arial"/>
    </font>
    <font>
      <sz val="9"/>
      <color rgb="FF1A1A1A"/>
      <name val="Arial"/>
    </font>
    <font>
      <b/>
      <sz val="9"/>
      <color rgb="FF185FA5"/>
      <name val="Arial"/>
    </font>
    <font>
      <b/>
      <sz val="11"/>
      <color rgb="FFFFFFFF"/>
      <name val="Arial"/>
    </font>
    <font>
      <b/>
      <sz val="9"/>
      <color rgb="FF1A5C1A"/>
      <name val="Arial"/>
    </font>
    <font>
      <b/>
      <sz val="10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D6E8F7"/>
      </patternFill>
    </fill>
    <fill>
      <patternFill patternType="solid">
        <fgColor rgb="FFFFF8F2"/>
      </patternFill>
    </fill>
    <fill>
      <patternFill patternType="solid">
        <fgColor rgb="FFFFFFFF"/>
      </patternFill>
    </fill>
    <fill>
      <patternFill patternType="solid">
        <fgColor rgb="FFFFFFF0"/>
      </patternFill>
    </fill>
    <fill>
      <patternFill patternType="solid">
        <fgColor rgb="FFE8F8E8"/>
      </patternFill>
    </fill>
    <fill>
      <patternFill patternType="solid">
        <fgColor rgb="FFFFF8F0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999999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top style="thin">
          <color rgb="FFCCCCCC"/>
        </top>
      </border>
    </dxf>
    <dxf>
      <border outline="0">
        <bottom style="medium">
          <color rgb="FF999999"/>
        </bottom>
      </border>
    </dxf>
    <dxf>
      <border outline="0">
        <top style="medium">
          <color rgb="FF999999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A1A1A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999999"/>
        </left>
        <right style="medium">
          <color rgb="FF99999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4858B-84FE-4433-8C56-34EF7DA49183}" name="Table1" displayName="Table1" ref="A1:M26" totalsRowShown="0" headerRowDxfId="17" dataDxfId="16" headerRowBorderDxfId="14" tableBorderDxfId="15" totalsRowBorderDxfId="13">
  <autoFilter ref="A1:M26" xr:uid="{6454858B-84FE-4433-8C56-34EF7DA491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BEAE149-8964-477E-A03E-015BD0833016}" name="Bil." dataDxfId="12"/>
    <tableColumn id="2" xr3:uid="{26A396EA-C626-4EDB-B5D5-363461F18C93}" name="No. Maktab" dataDxfId="11"/>
    <tableColumn id="3" xr3:uid="{EFC2657E-EE99-4637-9D47-ECCEDB87BF42}" name="Nama Penuh Pelajar" dataDxfId="10"/>
    <tableColumn id="4" xr3:uid="{4F1EF7CD-7783-43A3-907E-BA5FF58029E3}" name="Jantina" dataDxfId="9"/>
    <tableColumn id="5" xr3:uid="{11A88C33-DF21-4DA1-91F8-22E51FE60C63}" name="Kelas" dataDxfId="8"/>
    <tableColumn id="6" xr3:uid="{380DB317-2C9C-4EDA-840A-B2928933593C}" name="Homeroom" dataDxfId="7"/>
    <tableColumn id="7" xr3:uid="{B2249FB3-18B7-494D-9267-5BBC5BD68215}" name="Negeri Asal" dataDxfId="6"/>
    <tableColumn id="8" xr3:uid="{BA05F7AF-0F88-421C-BEEA-A4D8DDFCDFF4}" name="Tarikh Lahir" dataDxfId="5"/>
    <tableColumn id="9" xr3:uid="{209CAB89-5E32-421D-8B48-86613262EA0A}" name="BM" dataDxfId="4"/>
    <tableColumn id="10" xr3:uid="{309CA845-953F-42E2-98ED-94A67E68ADB4}" name="BI" dataDxfId="3"/>
    <tableColumn id="11" xr3:uid="{2C376EEC-D1E3-4989-AFA1-769C23AA17DD}" name="SEJ" dataDxfId="2"/>
    <tableColumn id="12" xr3:uid="{36CD7A1A-A6F5-4BDC-A4CF-B24F8057617A}" name="GEO" dataDxfId="1"/>
    <tableColumn id="13" xr3:uid="{FF6D95B8-FD35-4CF7-8D7F-A99E8CACEF94}" name="PAI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2051-6E56-4202-9CCB-932B95BC058F}">
  <dimension ref="A1:M26"/>
  <sheetViews>
    <sheetView workbookViewId="0">
      <selection activeCell="F27" sqref="F27:F42"/>
    </sheetView>
  </sheetViews>
  <sheetFormatPr defaultRowHeight="14.4" x14ac:dyDescent="0.3"/>
  <cols>
    <col min="1" max="1" width="5.44140625" customWidth="1"/>
    <col min="2" max="2" width="22" customWidth="1"/>
    <col min="3" max="4" width="35" customWidth="1"/>
    <col min="5" max="5" width="16" customWidth="1"/>
    <col min="6" max="8" width="14" customWidth="1"/>
    <col min="9" max="13" width="8" customWidth="1"/>
  </cols>
  <sheetData>
    <row r="1" spans="1:13" ht="15" thickBot="1" x14ac:dyDescent="0.35">
      <c r="A1" s="19" t="s">
        <v>2</v>
      </c>
      <c r="B1" s="19" t="s">
        <v>3</v>
      </c>
      <c r="C1" s="19" t="s">
        <v>4</v>
      </c>
      <c r="D1" s="19" t="s">
        <v>6</v>
      </c>
      <c r="E1" s="19" t="s">
        <v>7</v>
      </c>
      <c r="F1" s="19" t="s">
        <v>8</v>
      </c>
      <c r="G1" s="19" t="s">
        <v>9</v>
      </c>
      <c r="H1" s="19" t="s">
        <v>210</v>
      </c>
      <c r="I1" s="19" t="s">
        <v>201</v>
      </c>
      <c r="J1" s="19" t="s">
        <v>202</v>
      </c>
      <c r="K1" s="19" t="s">
        <v>211</v>
      </c>
      <c r="L1" s="19" t="s">
        <v>212</v>
      </c>
      <c r="M1" s="19" t="s">
        <v>213</v>
      </c>
    </row>
    <row r="2" spans="1:13" x14ac:dyDescent="0.3">
      <c r="A2" s="20">
        <v>1</v>
      </c>
      <c r="B2" s="20" t="s">
        <v>214</v>
      </c>
      <c r="C2" s="20" t="s">
        <v>215</v>
      </c>
      <c r="D2" s="20" t="s">
        <v>15</v>
      </c>
      <c r="E2" s="20" t="s">
        <v>16</v>
      </c>
      <c r="F2" s="20" t="s">
        <v>17</v>
      </c>
      <c r="G2" s="20" t="s">
        <v>18</v>
      </c>
      <c r="H2" s="20" t="s">
        <v>216</v>
      </c>
      <c r="I2" s="21">
        <v>81</v>
      </c>
      <c r="J2" s="21">
        <v>64</v>
      </c>
      <c r="K2" s="21">
        <v>56</v>
      </c>
      <c r="L2" s="21">
        <v>74</v>
      </c>
      <c r="M2" s="21">
        <v>67</v>
      </c>
    </row>
    <row r="3" spans="1:13" x14ac:dyDescent="0.3">
      <c r="A3" s="20">
        <v>2</v>
      </c>
      <c r="B3" s="20" t="s">
        <v>217</v>
      </c>
      <c r="C3" s="20" t="s">
        <v>218</v>
      </c>
      <c r="D3" s="20" t="s">
        <v>15</v>
      </c>
      <c r="E3" s="20" t="s">
        <v>16</v>
      </c>
      <c r="F3" s="20" t="s">
        <v>24</v>
      </c>
      <c r="G3" s="20" t="s">
        <v>25</v>
      </c>
      <c r="H3" s="20" t="s">
        <v>219</v>
      </c>
      <c r="I3" s="21">
        <v>90</v>
      </c>
      <c r="J3" s="21">
        <v>69</v>
      </c>
      <c r="K3" s="21">
        <v>61</v>
      </c>
      <c r="L3" s="21">
        <v>66</v>
      </c>
      <c r="M3" s="21">
        <v>59</v>
      </c>
    </row>
    <row r="4" spans="1:13" x14ac:dyDescent="0.3">
      <c r="A4" s="20">
        <v>3</v>
      </c>
      <c r="B4" s="20" t="s">
        <v>220</v>
      </c>
      <c r="C4" s="20" t="s">
        <v>221</v>
      </c>
      <c r="D4" s="20" t="s">
        <v>15</v>
      </c>
      <c r="E4" s="20" t="s">
        <v>16</v>
      </c>
      <c r="F4" s="20" t="s">
        <v>29</v>
      </c>
      <c r="G4" s="20" t="s">
        <v>30</v>
      </c>
      <c r="H4" s="20" t="s">
        <v>222</v>
      </c>
      <c r="I4" s="21">
        <v>67</v>
      </c>
      <c r="J4" s="21">
        <v>53</v>
      </c>
      <c r="K4" s="21">
        <v>58</v>
      </c>
      <c r="L4" s="21">
        <v>55</v>
      </c>
      <c r="M4" s="21">
        <v>66</v>
      </c>
    </row>
    <row r="5" spans="1:13" x14ac:dyDescent="0.3">
      <c r="A5" s="20">
        <v>4</v>
      </c>
      <c r="B5" s="20" t="s">
        <v>223</v>
      </c>
      <c r="C5" s="20" t="s">
        <v>224</v>
      </c>
      <c r="D5" s="20" t="s">
        <v>23</v>
      </c>
      <c r="E5" s="20" t="s">
        <v>16</v>
      </c>
      <c r="F5" s="20" t="s">
        <v>225</v>
      </c>
      <c r="G5" s="20" t="s">
        <v>35</v>
      </c>
      <c r="H5" s="20" t="s">
        <v>226</v>
      </c>
      <c r="I5" s="21">
        <v>75</v>
      </c>
      <c r="J5" s="21">
        <v>57</v>
      </c>
      <c r="K5" s="21">
        <v>53</v>
      </c>
      <c r="L5" s="21">
        <v>72</v>
      </c>
      <c r="M5" s="21">
        <v>88</v>
      </c>
    </row>
    <row r="6" spans="1:13" x14ac:dyDescent="0.3">
      <c r="A6" s="20">
        <v>5</v>
      </c>
      <c r="B6" s="20" t="s">
        <v>227</v>
      </c>
      <c r="C6" s="20" t="s">
        <v>228</v>
      </c>
      <c r="D6" s="20" t="s">
        <v>15</v>
      </c>
      <c r="E6" s="20" t="s">
        <v>16</v>
      </c>
      <c r="F6" s="20" t="s">
        <v>229</v>
      </c>
      <c r="G6" s="20" t="s">
        <v>39</v>
      </c>
      <c r="H6" s="20" t="s">
        <v>230</v>
      </c>
      <c r="I6" s="21">
        <v>49</v>
      </c>
      <c r="J6" s="21">
        <v>81</v>
      </c>
      <c r="K6" s="21">
        <v>88</v>
      </c>
      <c r="L6" s="21">
        <v>59</v>
      </c>
      <c r="M6" s="21">
        <v>61</v>
      </c>
    </row>
    <row r="7" spans="1:13" x14ac:dyDescent="0.3">
      <c r="A7" s="20">
        <v>6</v>
      </c>
      <c r="B7" s="20" t="s">
        <v>231</v>
      </c>
      <c r="C7" s="20" t="s">
        <v>232</v>
      </c>
      <c r="D7" s="20" t="s">
        <v>23</v>
      </c>
      <c r="E7" s="20" t="s">
        <v>16</v>
      </c>
      <c r="F7" s="20" t="s">
        <v>233</v>
      </c>
      <c r="G7" s="20" t="s">
        <v>44</v>
      </c>
      <c r="H7" s="20" t="s">
        <v>234</v>
      </c>
      <c r="I7" s="21">
        <v>75</v>
      </c>
      <c r="J7" s="21">
        <v>73</v>
      </c>
      <c r="K7" s="21">
        <v>54</v>
      </c>
      <c r="L7" s="21">
        <v>97</v>
      </c>
      <c r="M7" s="21">
        <v>58</v>
      </c>
    </row>
    <row r="8" spans="1:13" x14ac:dyDescent="0.3">
      <c r="A8" s="20">
        <v>7</v>
      </c>
      <c r="B8" s="20" t="s">
        <v>235</v>
      </c>
      <c r="C8" s="20" t="s">
        <v>236</v>
      </c>
      <c r="D8" s="20" t="s">
        <v>15</v>
      </c>
      <c r="E8" s="20" t="s">
        <v>16</v>
      </c>
      <c r="F8" s="20" t="s">
        <v>237</v>
      </c>
      <c r="G8" s="20" t="s">
        <v>48</v>
      </c>
      <c r="H8" s="20" t="s">
        <v>238</v>
      </c>
      <c r="I8" s="21">
        <v>64</v>
      </c>
      <c r="J8" s="21">
        <v>79</v>
      </c>
      <c r="K8" s="21">
        <v>44</v>
      </c>
      <c r="L8" s="21">
        <v>97</v>
      </c>
      <c r="M8" s="21">
        <v>54</v>
      </c>
    </row>
    <row r="9" spans="1:13" x14ac:dyDescent="0.3">
      <c r="A9" s="20">
        <v>8</v>
      </c>
      <c r="B9" s="20" t="s">
        <v>239</v>
      </c>
      <c r="C9" s="20" t="s">
        <v>240</v>
      </c>
      <c r="D9" s="20" t="s">
        <v>23</v>
      </c>
      <c r="E9" s="20" t="s">
        <v>16</v>
      </c>
      <c r="F9" s="20" t="s">
        <v>241</v>
      </c>
      <c r="G9" s="20" t="s">
        <v>68</v>
      </c>
      <c r="H9" s="20" t="s">
        <v>242</v>
      </c>
      <c r="I9" s="21">
        <v>70</v>
      </c>
      <c r="J9" s="21">
        <v>63</v>
      </c>
      <c r="K9" s="21">
        <v>56</v>
      </c>
      <c r="L9" s="21">
        <v>70</v>
      </c>
      <c r="M9" s="21">
        <v>95</v>
      </c>
    </row>
    <row r="10" spans="1:13" x14ac:dyDescent="0.3">
      <c r="A10" s="20">
        <v>9</v>
      </c>
      <c r="B10" s="20" t="s">
        <v>243</v>
      </c>
      <c r="C10" s="20" t="s">
        <v>244</v>
      </c>
      <c r="D10" s="20" t="s">
        <v>15</v>
      </c>
      <c r="E10" s="20" t="s">
        <v>16</v>
      </c>
      <c r="F10" s="20" t="s">
        <v>245</v>
      </c>
      <c r="G10" s="20" t="s">
        <v>18</v>
      </c>
      <c r="H10" s="20" t="s">
        <v>246</v>
      </c>
      <c r="I10" s="21">
        <v>77</v>
      </c>
      <c r="J10" s="21">
        <v>84</v>
      </c>
      <c r="K10" s="21">
        <v>64</v>
      </c>
      <c r="L10" s="21">
        <v>64</v>
      </c>
      <c r="M10" s="21">
        <v>97</v>
      </c>
    </row>
    <row r="11" spans="1:13" x14ac:dyDescent="0.3">
      <c r="A11" s="20">
        <v>10</v>
      </c>
      <c r="B11" s="20" t="s">
        <v>247</v>
      </c>
      <c r="C11" s="20" t="s">
        <v>248</v>
      </c>
      <c r="D11" s="20" t="s">
        <v>23</v>
      </c>
      <c r="E11" s="20" t="s">
        <v>16</v>
      </c>
      <c r="F11" s="20" t="s">
        <v>249</v>
      </c>
      <c r="G11" s="20" t="s">
        <v>25</v>
      </c>
      <c r="H11" s="20" t="s">
        <v>250</v>
      </c>
      <c r="I11" s="21">
        <v>67</v>
      </c>
      <c r="J11" s="21">
        <v>78</v>
      </c>
      <c r="K11" s="21">
        <v>91</v>
      </c>
      <c r="L11" s="21">
        <v>94</v>
      </c>
      <c r="M11" s="21">
        <v>82</v>
      </c>
    </row>
    <row r="12" spans="1:13" x14ac:dyDescent="0.3">
      <c r="A12" s="20">
        <v>11</v>
      </c>
      <c r="B12" s="20" t="s">
        <v>251</v>
      </c>
      <c r="C12" s="20" t="s">
        <v>252</v>
      </c>
      <c r="D12" s="20" t="s">
        <v>15</v>
      </c>
      <c r="E12" s="20" t="s">
        <v>16</v>
      </c>
      <c r="F12" s="20" t="s">
        <v>253</v>
      </c>
      <c r="G12" s="20" t="s">
        <v>30</v>
      </c>
      <c r="H12" s="20" t="s">
        <v>250</v>
      </c>
      <c r="I12" s="21">
        <v>76</v>
      </c>
      <c r="J12" s="21">
        <v>78</v>
      </c>
      <c r="K12" s="21">
        <v>88</v>
      </c>
      <c r="L12" s="21">
        <v>56</v>
      </c>
      <c r="M12" s="21">
        <v>76</v>
      </c>
    </row>
    <row r="13" spans="1:13" x14ac:dyDescent="0.3">
      <c r="A13" s="20">
        <v>12</v>
      </c>
      <c r="B13" s="20" t="s">
        <v>254</v>
      </c>
      <c r="C13" s="20" t="s">
        <v>255</v>
      </c>
      <c r="D13" s="20" t="s">
        <v>23</v>
      </c>
      <c r="E13" s="20" t="s">
        <v>16</v>
      </c>
      <c r="F13" s="20" t="s">
        <v>256</v>
      </c>
      <c r="G13" s="20" t="s">
        <v>35</v>
      </c>
      <c r="H13" s="20" t="s">
        <v>257</v>
      </c>
      <c r="I13" s="21">
        <v>45</v>
      </c>
      <c r="J13" s="21">
        <v>73</v>
      </c>
      <c r="K13" s="21">
        <v>49</v>
      </c>
      <c r="L13" s="21">
        <v>72</v>
      </c>
      <c r="M13" s="21">
        <v>100</v>
      </c>
    </row>
    <row r="14" spans="1:13" x14ac:dyDescent="0.3">
      <c r="A14" s="20">
        <v>13</v>
      </c>
      <c r="B14" s="20" t="s">
        <v>258</v>
      </c>
      <c r="C14" s="20" t="s">
        <v>259</v>
      </c>
      <c r="D14" s="20" t="s">
        <v>15</v>
      </c>
      <c r="E14" s="20" t="s">
        <v>16</v>
      </c>
      <c r="F14" s="20" t="s">
        <v>260</v>
      </c>
      <c r="G14" s="20" t="s">
        <v>39</v>
      </c>
      <c r="H14" s="20" t="s">
        <v>261</v>
      </c>
      <c r="I14" s="21">
        <v>74</v>
      </c>
      <c r="J14" s="21">
        <v>64</v>
      </c>
      <c r="K14" s="21">
        <v>65</v>
      </c>
      <c r="L14" s="21">
        <v>62</v>
      </c>
      <c r="M14" s="21">
        <v>64</v>
      </c>
    </row>
    <row r="15" spans="1:13" x14ac:dyDescent="0.3">
      <c r="A15" s="20">
        <v>14</v>
      </c>
      <c r="B15" s="20" t="s">
        <v>262</v>
      </c>
      <c r="C15" s="20" t="s">
        <v>263</v>
      </c>
      <c r="D15" s="20" t="s">
        <v>23</v>
      </c>
      <c r="E15" s="20" t="s">
        <v>16</v>
      </c>
      <c r="F15" s="20" t="s">
        <v>264</v>
      </c>
      <c r="G15" s="20" t="s">
        <v>44</v>
      </c>
      <c r="H15" s="20" t="s">
        <v>265</v>
      </c>
      <c r="I15" s="21">
        <v>85</v>
      </c>
      <c r="J15" s="21">
        <v>71</v>
      </c>
      <c r="K15" s="21">
        <v>72</v>
      </c>
      <c r="L15" s="21">
        <v>66</v>
      </c>
      <c r="M15" s="21">
        <v>54</v>
      </c>
    </row>
    <row r="16" spans="1:13" x14ac:dyDescent="0.3">
      <c r="A16" s="20">
        <v>15</v>
      </c>
      <c r="B16" s="20" t="s">
        <v>266</v>
      </c>
      <c r="C16" s="20" t="s">
        <v>267</v>
      </c>
      <c r="D16" s="20" t="s">
        <v>15</v>
      </c>
      <c r="E16" s="20" t="s">
        <v>16</v>
      </c>
      <c r="F16" s="20" t="s">
        <v>268</v>
      </c>
      <c r="G16" s="20" t="s">
        <v>48</v>
      </c>
      <c r="H16" s="20" t="s">
        <v>269</v>
      </c>
      <c r="I16" s="21">
        <v>70</v>
      </c>
      <c r="J16" s="21">
        <v>75</v>
      </c>
      <c r="K16" s="21">
        <v>87</v>
      </c>
      <c r="L16" s="21">
        <v>70</v>
      </c>
      <c r="M16" s="21">
        <v>84</v>
      </c>
    </row>
    <row r="17" spans="1:13" x14ac:dyDescent="0.3">
      <c r="A17" s="20">
        <v>16</v>
      </c>
      <c r="B17" s="20" t="s">
        <v>270</v>
      </c>
      <c r="C17" s="20" t="s">
        <v>271</v>
      </c>
      <c r="D17" s="20" t="s">
        <v>23</v>
      </c>
      <c r="E17" s="20" t="s">
        <v>16</v>
      </c>
      <c r="F17" s="20" t="s">
        <v>34</v>
      </c>
      <c r="G17" s="20" t="s">
        <v>68</v>
      </c>
      <c r="H17" s="20" t="s">
        <v>272</v>
      </c>
      <c r="I17" s="21">
        <v>100</v>
      </c>
      <c r="J17" s="21">
        <v>58</v>
      </c>
      <c r="K17" s="21">
        <v>89</v>
      </c>
      <c r="L17" s="21">
        <v>55</v>
      </c>
      <c r="M17" s="21">
        <v>94</v>
      </c>
    </row>
    <row r="18" spans="1:13" x14ac:dyDescent="0.3">
      <c r="A18" s="20">
        <v>17</v>
      </c>
      <c r="B18" s="20" t="s">
        <v>273</v>
      </c>
      <c r="C18" s="20" t="s">
        <v>274</v>
      </c>
      <c r="D18" s="20" t="s">
        <v>15</v>
      </c>
      <c r="E18" s="20" t="s">
        <v>16</v>
      </c>
      <c r="F18" s="20" t="s">
        <v>17</v>
      </c>
      <c r="G18" s="20" t="s">
        <v>18</v>
      </c>
      <c r="H18" s="20" t="s">
        <v>246</v>
      </c>
      <c r="I18" s="21">
        <v>63</v>
      </c>
      <c r="J18" s="21">
        <v>95</v>
      </c>
      <c r="K18" s="21">
        <v>64</v>
      </c>
      <c r="L18" s="21">
        <v>84</v>
      </c>
      <c r="M18" s="21">
        <v>75</v>
      </c>
    </row>
    <row r="19" spans="1:13" x14ac:dyDescent="0.3">
      <c r="A19" s="20">
        <v>18</v>
      </c>
      <c r="B19" s="20" t="s">
        <v>275</v>
      </c>
      <c r="C19" s="20" t="s">
        <v>276</v>
      </c>
      <c r="D19" s="20" t="s">
        <v>23</v>
      </c>
      <c r="E19" s="20" t="s">
        <v>16</v>
      </c>
      <c r="F19" s="20" t="s">
        <v>24</v>
      </c>
      <c r="G19" s="20" t="s">
        <v>25</v>
      </c>
      <c r="H19" s="20" t="s">
        <v>277</v>
      </c>
      <c r="I19" s="21">
        <v>71</v>
      </c>
      <c r="J19" s="21">
        <v>61</v>
      </c>
      <c r="K19" s="21">
        <v>85</v>
      </c>
      <c r="L19" s="21">
        <v>49</v>
      </c>
      <c r="M19" s="21">
        <v>87</v>
      </c>
    </row>
    <row r="20" spans="1:13" x14ac:dyDescent="0.3">
      <c r="A20" s="20">
        <v>19</v>
      </c>
      <c r="B20" s="20" t="s">
        <v>278</v>
      </c>
      <c r="C20" s="20" t="s">
        <v>279</v>
      </c>
      <c r="D20" s="20" t="s">
        <v>15</v>
      </c>
      <c r="E20" s="20" t="s">
        <v>16</v>
      </c>
      <c r="F20" s="20" t="s">
        <v>29</v>
      </c>
      <c r="G20" s="20" t="s">
        <v>30</v>
      </c>
      <c r="H20" s="20" t="s">
        <v>280</v>
      </c>
      <c r="I20" s="21">
        <v>82</v>
      </c>
      <c r="J20" s="21">
        <v>71</v>
      </c>
      <c r="K20" s="21">
        <v>78</v>
      </c>
      <c r="L20" s="21">
        <v>62</v>
      </c>
      <c r="M20" s="21">
        <v>61</v>
      </c>
    </row>
    <row r="21" spans="1:13" x14ac:dyDescent="0.3">
      <c r="A21" s="20">
        <v>20</v>
      </c>
      <c r="B21" s="20" t="s">
        <v>281</v>
      </c>
      <c r="C21" s="20" t="s">
        <v>282</v>
      </c>
      <c r="D21" s="20" t="s">
        <v>23</v>
      </c>
      <c r="E21" s="20" t="s">
        <v>16</v>
      </c>
      <c r="F21" s="20" t="s">
        <v>225</v>
      </c>
      <c r="G21" s="20" t="s">
        <v>35</v>
      </c>
      <c r="H21" s="20" t="s">
        <v>283</v>
      </c>
      <c r="I21" s="21">
        <v>69</v>
      </c>
      <c r="J21" s="21">
        <v>85</v>
      </c>
      <c r="K21" s="21">
        <v>47</v>
      </c>
      <c r="L21" s="21">
        <v>53</v>
      </c>
      <c r="M21" s="21">
        <v>63</v>
      </c>
    </row>
    <row r="22" spans="1:13" x14ac:dyDescent="0.3">
      <c r="A22" s="20">
        <v>21</v>
      </c>
      <c r="B22" s="20" t="s">
        <v>284</v>
      </c>
      <c r="C22" s="20" t="s">
        <v>285</v>
      </c>
      <c r="D22" s="20" t="s">
        <v>15</v>
      </c>
      <c r="E22" s="20" t="s">
        <v>16</v>
      </c>
      <c r="F22" s="20" t="s">
        <v>229</v>
      </c>
      <c r="G22" s="20" t="s">
        <v>39</v>
      </c>
      <c r="H22" s="20" t="s">
        <v>286</v>
      </c>
      <c r="I22" s="21">
        <v>51</v>
      </c>
      <c r="J22" s="21">
        <v>60</v>
      </c>
      <c r="K22" s="21">
        <v>38</v>
      </c>
      <c r="L22" s="21">
        <v>74</v>
      </c>
      <c r="M22" s="21">
        <v>68</v>
      </c>
    </row>
    <row r="23" spans="1:13" x14ac:dyDescent="0.3">
      <c r="A23" s="20">
        <v>22</v>
      </c>
      <c r="B23" s="20" t="s">
        <v>287</v>
      </c>
      <c r="C23" s="20" t="s">
        <v>288</v>
      </c>
      <c r="D23" s="20" t="s">
        <v>23</v>
      </c>
      <c r="E23" s="20" t="s">
        <v>16</v>
      </c>
      <c r="F23" s="20" t="s">
        <v>233</v>
      </c>
      <c r="G23" s="20" t="s">
        <v>44</v>
      </c>
      <c r="H23" s="20" t="s">
        <v>289</v>
      </c>
      <c r="I23" s="21">
        <v>65</v>
      </c>
      <c r="J23" s="21">
        <v>57</v>
      </c>
      <c r="K23" s="21">
        <v>68</v>
      </c>
      <c r="L23" s="21">
        <v>46</v>
      </c>
      <c r="M23" s="21">
        <v>79</v>
      </c>
    </row>
    <row r="24" spans="1:13" x14ac:dyDescent="0.3">
      <c r="A24" s="20">
        <v>23</v>
      </c>
      <c r="B24" s="20" t="s">
        <v>290</v>
      </c>
      <c r="C24" s="20" t="s">
        <v>291</v>
      </c>
      <c r="D24" s="20" t="s">
        <v>15</v>
      </c>
      <c r="E24" s="20" t="s">
        <v>16</v>
      </c>
      <c r="F24" s="20" t="s">
        <v>237</v>
      </c>
      <c r="G24" s="20" t="s">
        <v>48</v>
      </c>
      <c r="H24" s="20" t="s">
        <v>292</v>
      </c>
      <c r="I24" s="21">
        <v>97</v>
      </c>
      <c r="J24" s="21">
        <v>62</v>
      </c>
      <c r="K24" s="21">
        <v>76</v>
      </c>
      <c r="L24" s="21">
        <v>65</v>
      </c>
      <c r="M24" s="21">
        <v>51</v>
      </c>
    </row>
    <row r="25" spans="1:13" x14ac:dyDescent="0.3">
      <c r="A25" s="20">
        <v>24</v>
      </c>
      <c r="B25" s="20" t="s">
        <v>293</v>
      </c>
      <c r="C25" s="20" t="s">
        <v>294</v>
      </c>
      <c r="D25" s="20" t="s">
        <v>23</v>
      </c>
      <c r="E25" s="20" t="s">
        <v>16</v>
      </c>
      <c r="F25" s="20" t="s">
        <v>241</v>
      </c>
      <c r="G25" s="20" t="s">
        <v>68</v>
      </c>
      <c r="H25" s="20" t="s">
        <v>295</v>
      </c>
      <c r="I25" s="21">
        <v>67</v>
      </c>
      <c r="J25" s="21">
        <v>88</v>
      </c>
      <c r="K25" s="21">
        <v>65</v>
      </c>
      <c r="L25" s="21">
        <v>97</v>
      </c>
      <c r="M25" s="21">
        <v>74</v>
      </c>
    </row>
    <row r="26" spans="1:13" x14ac:dyDescent="0.3">
      <c r="A26" s="22">
        <v>25</v>
      </c>
      <c r="B26" s="22" t="s">
        <v>296</v>
      </c>
      <c r="C26" s="22" t="s">
        <v>297</v>
      </c>
      <c r="D26" s="22" t="s">
        <v>15</v>
      </c>
      <c r="E26" s="22" t="s">
        <v>16</v>
      </c>
      <c r="F26" s="22" t="s">
        <v>245</v>
      </c>
      <c r="G26" s="22" t="s">
        <v>18</v>
      </c>
      <c r="H26" s="22" t="s">
        <v>298</v>
      </c>
      <c r="I26" s="23">
        <v>56</v>
      </c>
      <c r="J26" s="23">
        <v>66</v>
      </c>
      <c r="K26" s="23">
        <v>41</v>
      </c>
      <c r="L26" s="23">
        <v>67</v>
      </c>
      <c r="M26" s="23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32B5-2719-46DD-973C-C52FC252E183}">
  <dimension ref="A1:O30"/>
  <sheetViews>
    <sheetView topLeftCell="B1" workbookViewId="0">
      <selection activeCell="O1" sqref="O1:O17"/>
    </sheetView>
  </sheetViews>
  <sheetFormatPr defaultRowHeight="14.4" x14ac:dyDescent="0.3"/>
  <cols>
    <col min="1" max="1" width="5" customWidth="1"/>
    <col min="2" max="2" width="22" customWidth="1"/>
    <col min="3" max="4" width="35" customWidth="1"/>
    <col min="5" max="5" width="16" customWidth="1"/>
    <col min="6" max="8" width="14" customWidth="1"/>
    <col min="9" max="13" width="8" customWidth="1"/>
  </cols>
  <sheetData>
    <row r="1" spans="1:15" ht="16.8" x14ac:dyDescent="0.3">
      <c r="A1" s="14" t="s">
        <v>206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O1" t="s">
        <v>8</v>
      </c>
    </row>
    <row r="2" spans="1:15" x14ac:dyDescent="0.3">
      <c r="A2" s="13" t="s">
        <v>207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O2" t="str" cm="1">
        <f t="array" ref="O2:O17">_xlfn.UNIQUE(Table1[Homeroom])</f>
        <v>Bijaksana</v>
      </c>
    </row>
    <row r="3" spans="1:15" x14ac:dyDescent="0.3">
      <c r="A3" s="11" t="s">
        <v>208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O3" t="str">
        <v>Karisma</v>
      </c>
    </row>
    <row r="4" spans="1:15" ht="15" thickBot="1" x14ac:dyDescent="0.35">
      <c r="A4" s="16" t="s">
        <v>209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O4" t="str">
        <v>Falah</v>
      </c>
    </row>
    <row r="5" spans="1:15" ht="15" thickBot="1" x14ac:dyDescent="0.35">
      <c r="A5" s="24" t="s">
        <v>2</v>
      </c>
      <c r="B5" s="24" t="s">
        <v>3</v>
      </c>
      <c r="C5" s="24" t="s">
        <v>4</v>
      </c>
      <c r="D5" s="24" t="s">
        <v>6</v>
      </c>
      <c r="E5" s="24" t="s">
        <v>7</v>
      </c>
      <c r="F5" s="24" t="s">
        <v>8</v>
      </c>
      <c r="G5" s="24" t="s">
        <v>9</v>
      </c>
      <c r="H5" s="24" t="s">
        <v>210</v>
      </c>
      <c r="I5" s="24" t="s">
        <v>201</v>
      </c>
      <c r="J5" s="24" t="s">
        <v>202</v>
      </c>
      <c r="K5" s="24" t="s">
        <v>211</v>
      </c>
      <c r="L5" s="24" t="s">
        <v>212</v>
      </c>
      <c r="M5" s="24" t="s">
        <v>213</v>
      </c>
      <c r="O5" t="str">
        <v>Harmonis</v>
      </c>
    </row>
    <row r="6" spans="1:15" x14ac:dyDescent="0.3">
      <c r="A6" s="17"/>
      <c r="B6" s="17"/>
      <c r="C6" s="17"/>
      <c r="D6" s="17"/>
      <c r="E6" s="17"/>
      <c r="F6" s="17"/>
      <c r="G6" s="17"/>
      <c r="H6" s="17"/>
      <c r="I6" s="18"/>
      <c r="J6" s="18"/>
      <c r="K6" s="18"/>
      <c r="L6" s="18"/>
      <c r="M6" s="18"/>
      <c r="O6" t="str">
        <v>Hikmat</v>
      </c>
    </row>
    <row r="7" spans="1:15" x14ac:dyDescent="0.3">
      <c r="A7" s="5"/>
      <c r="B7" s="5"/>
      <c r="C7" s="5"/>
      <c r="D7" s="5"/>
      <c r="E7" s="5"/>
      <c r="F7" s="5"/>
      <c r="G7" s="5"/>
      <c r="H7" s="5"/>
      <c r="I7" s="4"/>
      <c r="J7" s="4"/>
      <c r="K7" s="4"/>
      <c r="L7" s="4"/>
      <c r="M7" s="4"/>
      <c r="O7" t="str">
        <v>Bestari</v>
      </c>
    </row>
    <row r="8" spans="1:15" x14ac:dyDescent="0.3">
      <c r="A8" s="17"/>
      <c r="B8" s="17"/>
      <c r="C8" s="17"/>
      <c r="D8" s="17"/>
      <c r="E8" s="17"/>
      <c r="F8" s="17"/>
      <c r="G8" s="17"/>
      <c r="H8" s="17"/>
      <c r="I8" s="18"/>
      <c r="J8" s="18"/>
      <c r="K8" s="18"/>
      <c r="L8" s="18"/>
      <c r="M8" s="18"/>
      <c r="O8" t="str">
        <v>Fatanah</v>
      </c>
    </row>
    <row r="9" spans="1:15" x14ac:dyDescent="0.3">
      <c r="A9" s="5"/>
      <c r="B9" s="5"/>
      <c r="C9" s="5"/>
      <c r="D9" s="5"/>
      <c r="E9" s="5"/>
      <c r="F9" s="5"/>
      <c r="G9" s="5"/>
      <c r="H9" s="5"/>
      <c r="I9" s="4"/>
      <c r="J9" s="4"/>
      <c r="K9" s="4"/>
      <c r="L9" s="4"/>
      <c r="M9" s="4"/>
      <c r="O9" t="str">
        <v>Tabah</v>
      </c>
    </row>
    <row r="10" spans="1:15" x14ac:dyDescent="0.3">
      <c r="A10" s="17"/>
      <c r="B10" s="17"/>
      <c r="C10" s="17"/>
      <c r="D10" s="17"/>
      <c r="E10" s="17"/>
      <c r="F10" s="17"/>
      <c r="G10" s="17"/>
      <c r="H10" s="17"/>
      <c r="I10" s="18"/>
      <c r="J10" s="18"/>
      <c r="K10" s="18"/>
      <c r="L10" s="18"/>
      <c r="M10" s="18"/>
      <c r="O10" t="str">
        <v>Khidmat</v>
      </c>
    </row>
    <row r="11" spans="1:15" x14ac:dyDescent="0.3">
      <c r="A11" s="5"/>
      <c r="B11" s="5"/>
      <c r="C11" s="5"/>
      <c r="D11" s="5"/>
      <c r="E11" s="5"/>
      <c r="F11" s="5"/>
      <c r="G11" s="5"/>
      <c r="H11" s="5"/>
      <c r="I11" s="4"/>
      <c r="J11" s="4"/>
      <c r="K11" s="4"/>
      <c r="L11" s="4"/>
      <c r="M11" s="4"/>
      <c r="O11" t="str">
        <v>Syukur</v>
      </c>
    </row>
    <row r="12" spans="1:15" x14ac:dyDescent="0.3">
      <c r="A12" s="17"/>
      <c r="B12" s="17"/>
      <c r="C12" s="17"/>
      <c r="D12" s="17"/>
      <c r="E12" s="17"/>
      <c r="F12" s="17"/>
      <c r="G12" s="17"/>
      <c r="H12" s="17"/>
      <c r="I12" s="18"/>
      <c r="J12" s="18"/>
      <c r="K12" s="18"/>
      <c r="L12" s="18"/>
      <c r="M12" s="18"/>
      <c r="O12" t="str">
        <v>Amanah</v>
      </c>
    </row>
    <row r="13" spans="1:15" x14ac:dyDescent="0.3">
      <c r="A13" s="5"/>
      <c r="B13" s="5"/>
      <c r="C13" s="5"/>
      <c r="D13" s="5"/>
      <c r="E13" s="5"/>
      <c r="F13" s="5"/>
      <c r="G13" s="5"/>
      <c r="H13" s="5"/>
      <c r="I13" s="4"/>
      <c r="J13" s="4"/>
      <c r="K13" s="4"/>
      <c r="L13" s="4"/>
      <c r="M13" s="4"/>
      <c r="O13" t="str">
        <v>Gigih</v>
      </c>
    </row>
    <row r="14" spans="1:15" x14ac:dyDescent="0.3">
      <c r="A14" s="17"/>
      <c r="B14" s="17"/>
      <c r="C14" s="17"/>
      <c r="D14" s="17"/>
      <c r="E14" s="17"/>
      <c r="F14" s="17"/>
      <c r="G14" s="17"/>
      <c r="H14" s="17"/>
      <c r="I14" s="18"/>
      <c r="J14" s="18"/>
      <c r="K14" s="18"/>
      <c r="L14" s="18"/>
      <c r="M14" s="18"/>
      <c r="O14" t="str">
        <v>Ikhlas</v>
      </c>
    </row>
    <row r="15" spans="1:15" x14ac:dyDescent="0.3">
      <c r="A15" s="5"/>
      <c r="B15" s="5"/>
      <c r="C15" s="5"/>
      <c r="D15" s="5"/>
      <c r="E15" s="5"/>
      <c r="F15" s="5"/>
      <c r="G15" s="5"/>
      <c r="H15" s="5"/>
      <c r="I15" s="4"/>
      <c r="J15" s="4"/>
      <c r="K15" s="4"/>
      <c r="L15" s="4"/>
      <c r="M15" s="4"/>
      <c r="O15" t="str">
        <v>Sabar</v>
      </c>
    </row>
    <row r="16" spans="1:15" x14ac:dyDescent="0.3">
      <c r="A16" s="17"/>
      <c r="B16" s="17"/>
      <c r="C16" s="17"/>
      <c r="D16" s="17"/>
      <c r="E16" s="17"/>
      <c r="F16" s="17"/>
      <c r="G16" s="17"/>
      <c r="H16" s="17"/>
      <c r="I16" s="18"/>
      <c r="J16" s="18"/>
      <c r="K16" s="18"/>
      <c r="L16" s="18"/>
      <c r="M16" s="18"/>
      <c r="O16" t="str">
        <v>Tawaduk</v>
      </c>
    </row>
    <row r="17" spans="1:15" x14ac:dyDescent="0.3">
      <c r="A17" s="5"/>
      <c r="B17" s="5"/>
      <c r="C17" s="5"/>
      <c r="D17" s="5"/>
      <c r="E17" s="5"/>
      <c r="F17" s="5"/>
      <c r="G17" s="5"/>
      <c r="H17" s="5"/>
      <c r="I17" s="4"/>
      <c r="J17" s="4"/>
      <c r="K17" s="4"/>
      <c r="L17" s="4"/>
      <c r="M17" s="4"/>
      <c r="O17" t="str">
        <v>Tekun</v>
      </c>
    </row>
    <row r="18" spans="1:15" x14ac:dyDescent="0.3">
      <c r="A18" s="17"/>
      <c r="B18" s="17"/>
      <c r="C18" s="17"/>
      <c r="D18" s="17"/>
      <c r="E18" s="17"/>
      <c r="F18" s="17"/>
      <c r="G18" s="17"/>
      <c r="H18" s="17"/>
      <c r="I18" s="18"/>
      <c r="J18" s="18"/>
      <c r="K18" s="18"/>
      <c r="L18" s="18"/>
      <c r="M18" s="18"/>
    </row>
    <row r="19" spans="1:15" x14ac:dyDescent="0.3">
      <c r="A19" s="5"/>
      <c r="B19" s="5"/>
      <c r="C19" s="5"/>
      <c r="D19" s="5"/>
      <c r="E19" s="5"/>
      <c r="F19" s="5"/>
      <c r="G19" s="5"/>
      <c r="H19" s="5"/>
      <c r="I19" s="4"/>
      <c r="J19" s="4"/>
      <c r="K19" s="4"/>
      <c r="L19" s="4"/>
      <c r="M19" s="4"/>
    </row>
    <row r="20" spans="1:15" x14ac:dyDescent="0.3">
      <c r="A20" s="17"/>
      <c r="B20" s="17"/>
      <c r="C20" s="17"/>
      <c r="D20" s="17"/>
      <c r="E20" s="17"/>
      <c r="F20" s="17"/>
      <c r="G20" s="17"/>
      <c r="H20" s="17"/>
      <c r="I20" s="18"/>
      <c r="J20" s="18"/>
      <c r="K20" s="18"/>
      <c r="L20" s="18"/>
      <c r="M20" s="18"/>
    </row>
    <row r="21" spans="1:15" x14ac:dyDescent="0.3">
      <c r="A21" s="5"/>
      <c r="B21" s="5"/>
      <c r="C21" s="5"/>
      <c r="D21" s="5"/>
      <c r="E21" s="5"/>
      <c r="F21" s="5"/>
      <c r="G21" s="5"/>
      <c r="H21" s="5"/>
      <c r="I21" s="4"/>
      <c r="J21" s="4"/>
      <c r="K21" s="4"/>
      <c r="L21" s="4"/>
      <c r="M21" s="4"/>
    </row>
    <row r="22" spans="1:15" x14ac:dyDescent="0.3">
      <c r="A22" s="17"/>
      <c r="B22" s="17"/>
      <c r="C22" s="17"/>
      <c r="D22" s="17"/>
      <c r="E22" s="17"/>
      <c r="F22" s="17"/>
      <c r="G22" s="17"/>
      <c r="H22" s="17"/>
      <c r="I22" s="18"/>
      <c r="J22" s="18"/>
      <c r="K22" s="18"/>
      <c r="L22" s="18"/>
      <c r="M22" s="18"/>
    </row>
    <row r="23" spans="1:15" x14ac:dyDescent="0.3">
      <c r="A23" s="5"/>
      <c r="B23" s="5"/>
      <c r="C23" s="5"/>
      <c r="D23" s="5"/>
      <c r="E23" s="5"/>
      <c r="F23" s="5"/>
      <c r="G23" s="5"/>
      <c r="H23" s="5"/>
      <c r="I23" s="4"/>
      <c r="J23" s="4"/>
      <c r="K23" s="4"/>
      <c r="L23" s="4"/>
      <c r="M23" s="4"/>
    </row>
    <row r="24" spans="1:15" x14ac:dyDescent="0.3">
      <c r="A24" s="17"/>
      <c r="B24" s="17"/>
      <c r="C24" s="17"/>
      <c r="D24" s="17"/>
      <c r="E24" s="17"/>
      <c r="F24" s="17"/>
      <c r="G24" s="17"/>
      <c r="H24" s="17"/>
      <c r="I24" s="18"/>
      <c r="J24" s="18"/>
      <c r="K24" s="18"/>
      <c r="L24" s="18"/>
      <c r="M24" s="18"/>
    </row>
    <row r="25" spans="1:15" x14ac:dyDescent="0.3">
      <c r="A25" s="5"/>
      <c r="B25" s="5"/>
      <c r="C25" s="5"/>
      <c r="D25" s="5"/>
      <c r="E25" s="5"/>
      <c r="F25" s="5"/>
      <c r="G25" s="5"/>
      <c r="H25" s="5"/>
      <c r="I25" s="4"/>
      <c r="J25" s="4"/>
      <c r="K25" s="4"/>
      <c r="L25" s="4"/>
      <c r="M25" s="4"/>
    </row>
    <row r="26" spans="1:15" x14ac:dyDescent="0.3">
      <c r="A26" s="17"/>
      <c r="B26" s="17"/>
      <c r="C26" s="17"/>
      <c r="D26" s="17"/>
      <c r="E26" s="17"/>
      <c r="F26" s="17"/>
      <c r="G26" s="17"/>
      <c r="H26" s="17"/>
      <c r="I26" s="18"/>
      <c r="J26" s="18"/>
      <c r="K26" s="18"/>
      <c r="L26" s="18"/>
      <c r="M26" s="18"/>
    </row>
    <row r="27" spans="1:15" x14ac:dyDescent="0.3">
      <c r="A27" s="5"/>
      <c r="B27" s="5"/>
      <c r="C27" s="5"/>
      <c r="D27" s="5"/>
      <c r="E27" s="5"/>
      <c r="F27" s="5"/>
      <c r="G27" s="5"/>
      <c r="H27" s="5"/>
      <c r="I27" s="4"/>
      <c r="J27" s="4"/>
      <c r="K27" s="4"/>
      <c r="L27" s="4"/>
      <c r="M27" s="4"/>
    </row>
    <row r="28" spans="1:15" x14ac:dyDescent="0.3">
      <c r="A28" s="17"/>
      <c r="B28" s="17"/>
      <c r="C28" s="17"/>
      <c r="D28" s="17"/>
      <c r="E28" s="17"/>
      <c r="F28" s="17"/>
      <c r="G28" s="17"/>
      <c r="H28" s="17"/>
      <c r="I28" s="18"/>
      <c r="J28" s="18"/>
      <c r="K28" s="18"/>
      <c r="L28" s="18"/>
      <c r="M28" s="18"/>
    </row>
    <row r="29" spans="1:15" x14ac:dyDescent="0.3">
      <c r="A29" s="5"/>
      <c r="B29" s="5"/>
      <c r="C29" s="5"/>
      <c r="D29" s="5"/>
      <c r="E29" s="5"/>
      <c r="F29" s="5"/>
      <c r="G29" s="5"/>
      <c r="H29" s="5"/>
      <c r="I29" s="4"/>
      <c r="J29" s="4"/>
      <c r="K29" s="4"/>
      <c r="L29" s="4"/>
      <c r="M29" s="4"/>
    </row>
    <row r="30" spans="1:15" x14ac:dyDescent="0.3">
      <c r="A30" s="17"/>
      <c r="B30" s="17"/>
      <c r="C30" s="17"/>
      <c r="D30" s="17"/>
      <c r="E30" s="17"/>
      <c r="F30" s="17"/>
      <c r="G30" s="17"/>
      <c r="H30" s="17"/>
      <c r="I30" s="18"/>
      <c r="J30" s="18"/>
      <c r="K30" s="18"/>
      <c r="L30" s="18"/>
      <c r="M30" s="18"/>
    </row>
  </sheetData>
  <mergeCells count="4">
    <mergeCell ref="A1:M1"/>
    <mergeCell ref="A2:M2"/>
    <mergeCell ref="A3:M3"/>
    <mergeCell ref="A4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15A2-D1D7-4C91-8197-749CAD72B285}">
  <dimension ref="A1:L33"/>
  <sheetViews>
    <sheetView workbookViewId="0">
      <selection activeCell="C6" sqref="C6:C26"/>
    </sheetView>
  </sheetViews>
  <sheetFormatPr defaultRowHeight="14.4" x14ac:dyDescent="0.3"/>
  <cols>
    <col min="1" max="1" width="14" customWidth="1"/>
    <col min="2" max="2" width="41.21875" customWidth="1"/>
    <col min="3" max="3" width="18" customWidth="1"/>
    <col min="4" max="4" width="24" customWidth="1"/>
    <col min="5" max="5" width="22" customWidth="1"/>
    <col min="6" max="6" width="18" customWidth="1"/>
    <col min="7" max="7" width="20" customWidth="1"/>
  </cols>
  <sheetData>
    <row r="1" spans="1:12" ht="16.8" x14ac:dyDescent="0.3">
      <c r="A1" s="14" t="s">
        <v>299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3.95" customHeight="1" x14ac:dyDescent="0.3">
      <c r="A2" s="13" t="s">
        <v>300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6.05" customHeight="1" x14ac:dyDescent="0.3">
      <c r="A3" s="11" t="s">
        <v>301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5" spans="1:12" ht="24.6" thickBot="1" x14ac:dyDescent="0.35">
      <c r="A5" s="1" t="s">
        <v>3</v>
      </c>
      <c r="B5" s="1" t="s">
        <v>161</v>
      </c>
      <c r="C5" s="1" t="s">
        <v>302</v>
      </c>
      <c r="D5" s="1" t="s">
        <v>303</v>
      </c>
      <c r="E5" s="1" t="s">
        <v>304</v>
      </c>
      <c r="F5" s="1" t="s">
        <v>305</v>
      </c>
      <c r="G5" s="1" t="s">
        <v>306</v>
      </c>
    </row>
    <row r="6" spans="1:12" ht="14.4" customHeight="1" x14ac:dyDescent="0.3">
      <c r="A6" s="17" t="s">
        <v>214</v>
      </c>
      <c r="B6" s="17" t="s">
        <v>215</v>
      </c>
      <c r="C6" s="17" t="s">
        <v>16</v>
      </c>
      <c r="D6" s="18">
        <v>100</v>
      </c>
      <c r="E6" s="17" t="s">
        <v>171</v>
      </c>
      <c r="F6" s="17" t="s">
        <v>307</v>
      </c>
      <c r="G6" s="17"/>
    </row>
    <row r="7" spans="1:12" ht="15" customHeight="1" x14ac:dyDescent="0.3">
      <c r="A7" s="5" t="s">
        <v>217</v>
      </c>
      <c r="B7" s="5" t="s">
        <v>218</v>
      </c>
      <c r="C7" s="5" t="s">
        <v>16</v>
      </c>
      <c r="D7" s="4">
        <v>97</v>
      </c>
      <c r="E7" s="5" t="s">
        <v>171</v>
      </c>
      <c r="F7" s="5" t="s">
        <v>307</v>
      </c>
      <c r="G7" s="5"/>
    </row>
    <row r="8" spans="1:12" x14ac:dyDescent="0.3">
      <c r="A8" s="17"/>
      <c r="B8" s="17"/>
      <c r="C8" s="17"/>
      <c r="D8" s="18"/>
      <c r="E8" s="17"/>
      <c r="F8" s="17"/>
      <c r="G8" s="17"/>
    </row>
    <row r="9" spans="1:12" x14ac:dyDescent="0.3">
      <c r="A9" s="5"/>
      <c r="B9" s="5"/>
      <c r="C9" s="5"/>
      <c r="D9" s="4"/>
      <c r="E9" s="5"/>
      <c r="F9" s="5"/>
      <c r="G9" s="5"/>
    </row>
    <row r="10" spans="1:12" x14ac:dyDescent="0.3">
      <c r="A10" s="17"/>
      <c r="B10" s="17"/>
      <c r="C10" s="17"/>
      <c r="D10" s="18"/>
      <c r="E10" s="17"/>
      <c r="F10" s="17"/>
      <c r="G10" s="17"/>
    </row>
    <row r="11" spans="1:12" x14ac:dyDescent="0.3">
      <c r="A11" s="5"/>
      <c r="B11" s="5"/>
      <c r="C11" s="5"/>
      <c r="D11" s="4"/>
      <c r="E11" s="5"/>
      <c r="F11" s="5"/>
      <c r="G11" s="5"/>
    </row>
    <row r="12" spans="1:12" x14ac:dyDescent="0.3">
      <c r="A12" s="17"/>
      <c r="B12" s="17"/>
      <c r="C12" s="17"/>
      <c r="D12" s="18"/>
      <c r="E12" s="17"/>
      <c r="F12" s="17"/>
      <c r="G12" s="17"/>
    </row>
    <row r="13" spans="1:12" x14ac:dyDescent="0.3">
      <c r="A13" s="5"/>
      <c r="B13" s="5"/>
      <c r="C13" s="5"/>
      <c r="D13" s="4"/>
      <c r="E13" s="5"/>
      <c r="F13" s="5"/>
      <c r="G13" s="5"/>
    </row>
    <row r="14" spans="1:12" x14ac:dyDescent="0.3">
      <c r="A14" s="17"/>
      <c r="B14" s="17"/>
      <c r="C14" s="17"/>
      <c r="D14" s="18"/>
      <c r="E14" s="17"/>
      <c r="F14" s="17"/>
      <c r="G14" s="17"/>
    </row>
    <row r="15" spans="1:12" x14ac:dyDescent="0.3">
      <c r="A15" s="5"/>
      <c r="B15" s="5"/>
      <c r="C15" s="5"/>
      <c r="D15" s="4"/>
      <c r="E15" s="5"/>
      <c r="F15" s="5"/>
      <c r="G15" s="5"/>
    </row>
    <row r="16" spans="1:12" x14ac:dyDescent="0.3">
      <c r="A16" s="17"/>
      <c r="B16" s="17"/>
      <c r="C16" s="17"/>
      <c r="D16" s="18"/>
      <c r="E16" s="17"/>
      <c r="F16" s="17"/>
      <c r="G16" s="17"/>
    </row>
    <row r="17" spans="1:12" x14ac:dyDescent="0.3">
      <c r="A17" s="5"/>
      <c r="B17" s="5"/>
      <c r="C17" s="5"/>
      <c r="D17" s="4"/>
      <c r="E17" s="5"/>
      <c r="F17" s="5"/>
      <c r="G17" s="5"/>
    </row>
    <row r="18" spans="1:12" x14ac:dyDescent="0.3">
      <c r="A18" s="17"/>
      <c r="B18" s="17"/>
      <c r="C18" s="17"/>
      <c r="D18" s="18"/>
      <c r="E18" s="17"/>
      <c r="F18" s="17"/>
      <c r="G18" s="17"/>
    </row>
    <row r="19" spans="1:12" x14ac:dyDescent="0.3">
      <c r="A19" s="5"/>
      <c r="B19" s="5"/>
      <c r="C19" s="5"/>
      <c r="D19" s="4"/>
      <c r="E19" s="5"/>
      <c r="F19" s="5"/>
      <c r="G19" s="5"/>
    </row>
    <row r="20" spans="1:12" x14ac:dyDescent="0.3">
      <c r="A20" s="17"/>
      <c r="B20" s="17"/>
      <c r="C20" s="17"/>
      <c r="D20" s="18"/>
      <c r="E20" s="17"/>
      <c r="F20" s="17"/>
      <c r="G20" s="17"/>
    </row>
    <row r="21" spans="1:12" x14ac:dyDescent="0.3">
      <c r="A21" s="5"/>
      <c r="B21" s="5"/>
      <c r="C21" s="5"/>
      <c r="D21" s="4"/>
      <c r="E21" s="5"/>
      <c r="F21" s="5"/>
      <c r="G21" s="5"/>
    </row>
    <row r="22" spans="1:12" x14ac:dyDescent="0.3">
      <c r="A22" s="17"/>
      <c r="B22" s="17"/>
      <c r="C22" s="17"/>
      <c r="D22" s="18"/>
      <c r="E22" s="17"/>
      <c r="F22" s="17"/>
      <c r="G22" s="17"/>
    </row>
    <row r="23" spans="1:12" x14ac:dyDescent="0.3">
      <c r="A23" s="5"/>
      <c r="B23" s="5"/>
      <c r="C23" s="5"/>
      <c r="D23" s="4"/>
      <c r="E23" s="5"/>
      <c r="F23" s="5"/>
      <c r="G23" s="5"/>
    </row>
    <row r="24" spans="1:12" x14ac:dyDescent="0.3">
      <c r="A24" s="17"/>
      <c r="B24" s="17"/>
      <c r="C24" s="17"/>
      <c r="D24" s="18"/>
      <c r="E24" s="17"/>
      <c r="F24" s="17"/>
      <c r="G24" s="17"/>
    </row>
    <row r="25" spans="1:12" x14ac:dyDescent="0.3">
      <c r="A25" s="5"/>
      <c r="B25" s="5"/>
      <c r="C25" s="5"/>
      <c r="D25" s="4"/>
      <c r="E25" s="5"/>
      <c r="F25" s="5"/>
      <c r="G25" s="5"/>
    </row>
    <row r="28" spans="1:12" ht="18" customHeight="1" thickBot="1" x14ac:dyDescent="0.35">
      <c r="A28" s="25" t="s">
        <v>308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 spans="1:12" ht="15" thickBot="1" x14ac:dyDescent="0.35">
      <c r="A29" s="1" t="s">
        <v>309</v>
      </c>
      <c r="B29" s="1" t="s">
        <v>310</v>
      </c>
      <c r="C29" s="1" t="s">
        <v>311</v>
      </c>
      <c r="D29" s="1" t="s">
        <v>312</v>
      </c>
      <c r="E29" s="1" t="s">
        <v>313</v>
      </c>
      <c r="F29" s="1" t="s">
        <v>314</v>
      </c>
    </row>
    <row r="30" spans="1:12" x14ac:dyDescent="0.3">
      <c r="A30" s="17" t="s">
        <v>315</v>
      </c>
      <c r="B30" s="17" t="s">
        <v>316</v>
      </c>
      <c r="C30" s="17" t="s">
        <v>317</v>
      </c>
      <c r="D30" s="17" t="s">
        <v>318</v>
      </c>
      <c r="E30" s="17"/>
      <c r="F30" s="17" t="s">
        <v>319</v>
      </c>
    </row>
    <row r="31" spans="1:12" x14ac:dyDescent="0.3">
      <c r="A31" s="5" t="s">
        <v>7</v>
      </c>
      <c r="B31" s="5" t="s">
        <v>320</v>
      </c>
      <c r="C31" s="5" t="s">
        <v>321</v>
      </c>
      <c r="D31" s="5" t="s">
        <v>322</v>
      </c>
      <c r="E31" s="5" t="s">
        <v>323</v>
      </c>
      <c r="F31" s="5" t="s">
        <v>319</v>
      </c>
    </row>
    <row r="32" spans="1:12" x14ac:dyDescent="0.3">
      <c r="A32" s="17" t="s">
        <v>324</v>
      </c>
      <c r="B32" s="17" t="s">
        <v>325</v>
      </c>
      <c r="C32" s="17" t="s">
        <v>172</v>
      </c>
      <c r="D32" s="17" t="s">
        <v>326</v>
      </c>
      <c r="E32" s="17" t="s">
        <v>327</v>
      </c>
      <c r="F32" s="17" t="s">
        <v>319</v>
      </c>
    </row>
    <row r="33" spans="1:6" x14ac:dyDescent="0.3">
      <c r="A33" s="5" t="s">
        <v>328</v>
      </c>
      <c r="B33" s="5" t="s">
        <v>329</v>
      </c>
      <c r="C33" s="5" t="s">
        <v>321</v>
      </c>
      <c r="D33" s="5" t="s">
        <v>330</v>
      </c>
      <c r="E33" s="5" t="s">
        <v>323</v>
      </c>
      <c r="F33" s="5" t="s">
        <v>319</v>
      </c>
    </row>
  </sheetData>
  <mergeCells count="4">
    <mergeCell ref="A28:L28"/>
    <mergeCell ref="A1:L1"/>
    <mergeCell ref="A2:L2"/>
    <mergeCell ref="A3:L3"/>
  </mergeCells>
  <dataValidations count="1">
    <dataValidation type="whole" allowBlank="1" showInputMessage="1" showErrorMessage="1" sqref="D6:D25" xr:uid="{CA566032-03C3-4E53-A2C4-D82414643E9F}">
      <formula1>0</formula1>
      <formula2>100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07CE-9C5E-4F09-837C-2A173C07FBFE}">
  <dimension ref="A1:M29"/>
  <sheetViews>
    <sheetView workbookViewId="0">
      <selection activeCell="J10" sqref="J10"/>
    </sheetView>
  </sheetViews>
  <sheetFormatPr defaultRowHeight="14.4" x14ac:dyDescent="0.3"/>
  <sheetData>
    <row r="1" spans="1:13" ht="16.8" x14ac:dyDescent="0.3">
      <c r="A1" s="14" t="s">
        <v>331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3">
      <c r="A2" s="13" t="s">
        <v>207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38.4" customHeight="1" thickBot="1" x14ac:dyDescent="0.35">
      <c r="A3" s="11" t="s">
        <v>208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36.6" thickBot="1" x14ac:dyDescent="0.35">
      <c r="A4" s="24" t="s">
        <v>2</v>
      </c>
      <c r="B4" s="24" t="s">
        <v>3</v>
      </c>
      <c r="C4" s="24" t="s">
        <v>4</v>
      </c>
      <c r="D4" s="24" t="s">
        <v>6</v>
      </c>
      <c r="E4" s="24" t="s">
        <v>7</v>
      </c>
      <c r="F4" s="24" t="s">
        <v>8</v>
      </c>
      <c r="G4" s="24" t="s">
        <v>9</v>
      </c>
      <c r="H4" s="24" t="s">
        <v>210</v>
      </c>
      <c r="I4" s="24" t="s">
        <v>201</v>
      </c>
      <c r="J4" s="24" t="s">
        <v>202</v>
      </c>
      <c r="K4" s="24" t="s">
        <v>211</v>
      </c>
      <c r="L4" s="24" t="s">
        <v>212</v>
      </c>
      <c r="M4" s="24" t="s">
        <v>213</v>
      </c>
    </row>
    <row r="5" spans="1:13" x14ac:dyDescent="0.3">
      <c r="A5" s="17">
        <v>1</v>
      </c>
      <c r="B5" s="17" t="s">
        <v>214</v>
      </c>
      <c r="C5" s="17" t="s">
        <v>215</v>
      </c>
      <c r="D5" s="17" t="s">
        <v>15</v>
      </c>
      <c r="E5" s="17" t="s">
        <v>16</v>
      </c>
      <c r="F5" s="17" t="s">
        <v>17</v>
      </c>
      <c r="G5" s="17" t="s">
        <v>18</v>
      </c>
      <c r="H5" s="17" t="s">
        <v>216</v>
      </c>
      <c r="I5" s="18">
        <v>81</v>
      </c>
      <c r="J5" s="18">
        <v>64</v>
      </c>
      <c r="K5" s="18">
        <v>56</v>
      </c>
      <c r="L5" s="18">
        <v>74</v>
      </c>
      <c r="M5" s="18">
        <v>67</v>
      </c>
    </row>
    <row r="6" spans="1:13" x14ac:dyDescent="0.3">
      <c r="A6" s="5">
        <v>2</v>
      </c>
      <c r="B6" s="5" t="s">
        <v>217</v>
      </c>
      <c r="C6" s="5" t="s">
        <v>218</v>
      </c>
      <c r="D6" s="5" t="s">
        <v>15</v>
      </c>
      <c r="E6" s="5" t="s">
        <v>16</v>
      </c>
      <c r="F6" s="5" t="s">
        <v>24</v>
      </c>
      <c r="G6" s="5" t="s">
        <v>25</v>
      </c>
      <c r="H6" s="5" t="s">
        <v>219</v>
      </c>
      <c r="I6" s="4">
        <v>90</v>
      </c>
      <c r="J6" s="4">
        <v>69</v>
      </c>
      <c r="K6" s="4">
        <v>61</v>
      </c>
      <c r="L6" s="4">
        <v>66</v>
      </c>
      <c r="M6" s="4">
        <v>59</v>
      </c>
    </row>
    <row r="7" spans="1:13" x14ac:dyDescent="0.3">
      <c r="A7" s="17">
        <v>3</v>
      </c>
      <c r="B7" s="17" t="s">
        <v>220</v>
      </c>
      <c r="C7" s="17" t="s">
        <v>221</v>
      </c>
      <c r="D7" s="17" t="s">
        <v>15</v>
      </c>
      <c r="E7" s="17" t="s">
        <v>16</v>
      </c>
      <c r="F7" s="17" t="s">
        <v>29</v>
      </c>
      <c r="G7" s="17" t="s">
        <v>30</v>
      </c>
      <c r="H7" s="17" t="s">
        <v>222</v>
      </c>
      <c r="I7" s="18">
        <v>67</v>
      </c>
      <c r="J7" s="18">
        <v>53</v>
      </c>
      <c r="K7" s="18">
        <v>58</v>
      </c>
      <c r="L7" s="18">
        <v>55</v>
      </c>
      <c r="M7" s="18">
        <v>66</v>
      </c>
    </row>
    <row r="8" spans="1:13" x14ac:dyDescent="0.3">
      <c r="A8" s="5"/>
      <c r="B8" s="5"/>
      <c r="C8" s="5"/>
      <c r="D8" s="5"/>
      <c r="E8" s="5"/>
      <c r="F8" s="5"/>
      <c r="G8" s="5"/>
      <c r="H8" s="5"/>
      <c r="I8" s="4"/>
      <c r="J8" s="4"/>
      <c r="K8" s="4"/>
      <c r="L8" s="4"/>
      <c r="M8" s="4"/>
    </row>
    <row r="9" spans="1:13" x14ac:dyDescent="0.3">
      <c r="A9" s="17"/>
      <c r="B9" s="17"/>
      <c r="C9" s="17"/>
      <c r="D9" s="17"/>
      <c r="E9" s="17"/>
      <c r="F9" s="17"/>
      <c r="G9" s="17"/>
      <c r="H9" s="17"/>
      <c r="I9" s="18"/>
      <c r="J9" s="18"/>
      <c r="K9" s="18"/>
      <c r="L9" s="18"/>
      <c r="M9" s="18"/>
    </row>
    <row r="10" spans="1:13" x14ac:dyDescent="0.3">
      <c r="A10" s="5"/>
      <c r="B10" s="5"/>
      <c r="C10" s="5"/>
      <c r="D10" s="5"/>
      <c r="E10" s="5"/>
      <c r="F10" s="5"/>
      <c r="G10" s="5"/>
      <c r="H10" s="5"/>
      <c r="I10" s="4"/>
      <c r="J10" s="4"/>
      <c r="K10" s="4"/>
      <c r="L10" s="4"/>
      <c r="M10" s="4"/>
    </row>
    <row r="11" spans="1:13" x14ac:dyDescent="0.3">
      <c r="A11" s="17"/>
      <c r="B11" s="17"/>
      <c r="C11" s="17"/>
      <c r="D11" s="17"/>
      <c r="E11" s="17"/>
      <c r="F11" s="17"/>
      <c r="G11" s="17"/>
      <c r="H11" s="17"/>
      <c r="I11" s="18"/>
      <c r="J11" s="18"/>
      <c r="K11" s="18"/>
      <c r="L11" s="18"/>
      <c r="M11" s="18"/>
    </row>
    <row r="12" spans="1:13" x14ac:dyDescent="0.3">
      <c r="A12" s="5"/>
      <c r="B12" s="5"/>
      <c r="C12" s="5"/>
      <c r="D12" s="5"/>
      <c r="E12" s="5"/>
      <c r="F12" s="5"/>
      <c r="G12" s="5"/>
      <c r="H12" s="5"/>
      <c r="I12" s="4"/>
      <c r="J12" s="4"/>
      <c r="K12" s="4"/>
      <c r="L12" s="4"/>
      <c r="M12" s="4"/>
    </row>
    <row r="13" spans="1:13" x14ac:dyDescent="0.3">
      <c r="A13" s="17"/>
      <c r="B13" s="17"/>
      <c r="C13" s="17"/>
      <c r="D13" s="17"/>
      <c r="E13" s="17"/>
      <c r="F13" s="17"/>
      <c r="G13" s="17"/>
      <c r="H13" s="17"/>
      <c r="I13" s="18"/>
      <c r="J13" s="18"/>
      <c r="K13" s="18"/>
      <c r="L13" s="18"/>
      <c r="M13" s="18"/>
    </row>
    <row r="14" spans="1:13" x14ac:dyDescent="0.3">
      <c r="A14" s="5"/>
      <c r="B14" s="5"/>
      <c r="C14" s="5"/>
      <c r="D14" s="5"/>
      <c r="E14" s="5"/>
      <c r="F14" s="5"/>
      <c r="G14" s="5"/>
      <c r="H14" s="5"/>
      <c r="I14" s="4"/>
      <c r="J14" s="4"/>
      <c r="K14" s="4"/>
      <c r="L14" s="4"/>
      <c r="M14" s="4"/>
    </row>
    <row r="15" spans="1:13" x14ac:dyDescent="0.3">
      <c r="A15" s="17"/>
      <c r="B15" s="17"/>
      <c r="C15" s="17"/>
      <c r="D15" s="17"/>
      <c r="E15" s="17"/>
      <c r="F15" s="17"/>
      <c r="G15" s="17"/>
      <c r="H15" s="17"/>
      <c r="I15" s="18"/>
      <c r="J15" s="18"/>
      <c r="K15" s="18"/>
      <c r="L15" s="18"/>
      <c r="M15" s="18"/>
    </row>
    <row r="16" spans="1:13" x14ac:dyDescent="0.3">
      <c r="A16" s="5"/>
      <c r="B16" s="5"/>
      <c r="C16" s="5"/>
      <c r="D16" s="5"/>
      <c r="E16" s="5"/>
      <c r="F16" s="5"/>
      <c r="G16" s="5"/>
      <c r="H16" s="5"/>
      <c r="I16" s="4"/>
      <c r="J16" s="4"/>
      <c r="K16" s="4"/>
      <c r="L16" s="4"/>
      <c r="M16" s="4"/>
    </row>
    <row r="17" spans="1:13" x14ac:dyDescent="0.3">
      <c r="A17" s="17"/>
      <c r="B17" s="17"/>
      <c r="C17" s="17"/>
      <c r="D17" s="17"/>
      <c r="E17" s="17"/>
      <c r="F17" s="17"/>
      <c r="G17" s="17"/>
      <c r="H17" s="17"/>
      <c r="I17" s="18"/>
      <c r="J17" s="18"/>
      <c r="K17" s="18"/>
      <c r="L17" s="18"/>
      <c r="M17" s="18"/>
    </row>
    <row r="18" spans="1:13" x14ac:dyDescent="0.3">
      <c r="A18" s="5"/>
      <c r="B18" s="5"/>
      <c r="C18" s="5"/>
      <c r="D18" s="5"/>
      <c r="E18" s="5"/>
      <c r="F18" s="5"/>
      <c r="G18" s="5"/>
      <c r="H18" s="5"/>
      <c r="I18" s="4"/>
      <c r="J18" s="4"/>
      <c r="K18" s="4"/>
      <c r="L18" s="4"/>
      <c r="M18" s="4"/>
    </row>
    <row r="19" spans="1:13" x14ac:dyDescent="0.3">
      <c r="A19" s="17"/>
      <c r="B19" s="17"/>
      <c r="C19" s="17"/>
      <c r="D19" s="17"/>
      <c r="E19" s="17"/>
      <c r="F19" s="17"/>
      <c r="G19" s="17"/>
      <c r="H19" s="17"/>
      <c r="I19" s="18"/>
      <c r="J19" s="18"/>
      <c r="K19" s="18"/>
      <c r="L19" s="18"/>
      <c r="M19" s="18"/>
    </row>
    <row r="20" spans="1:13" x14ac:dyDescent="0.3">
      <c r="A20" s="5"/>
      <c r="B20" s="5"/>
      <c r="C20" s="5"/>
      <c r="D20" s="5"/>
      <c r="E20" s="5"/>
      <c r="F20" s="5"/>
      <c r="G20" s="5"/>
      <c r="H20" s="5"/>
      <c r="I20" s="4"/>
      <c r="J20" s="4"/>
      <c r="K20" s="4"/>
      <c r="L20" s="4"/>
      <c r="M20" s="4"/>
    </row>
    <row r="21" spans="1:13" x14ac:dyDescent="0.3">
      <c r="A21" s="17"/>
      <c r="B21" s="17"/>
      <c r="C21" s="17"/>
      <c r="D21" s="17"/>
      <c r="E21" s="17"/>
      <c r="F21" s="17"/>
      <c r="G21" s="17"/>
      <c r="H21" s="17"/>
      <c r="I21" s="18"/>
      <c r="J21" s="18"/>
      <c r="K21" s="18"/>
      <c r="L21" s="18"/>
      <c r="M21" s="18"/>
    </row>
    <row r="22" spans="1:13" x14ac:dyDescent="0.3">
      <c r="A22" s="5"/>
      <c r="B22" s="5"/>
      <c r="C22" s="5"/>
      <c r="D22" s="5"/>
      <c r="E22" s="5"/>
      <c r="F22" s="5"/>
      <c r="G22" s="5"/>
      <c r="H22" s="5"/>
      <c r="I22" s="4"/>
      <c r="J22" s="4"/>
      <c r="K22" s="4"/>
      <c r="L22" s="4"/>
      <c r="M22" s="4"/>
    </row>
    <row r="23" spans="1:13" x14ac:dyDescent="0.3">
      <c r="A23" s="17"/>
      <c r="B23" s="17"/>
      <c r="C23" s="17"/>
      <c r="D23" s="17"/>
      <c r="E23" s="17"/>
      <c r="F23" s="17"/>
      <c r="G23" s="17"/>
      <c r="H23" s="17"/>
      <c r="I23" s="18"/>
      <c r="J23" s="18"/>
      <c r="K23" s="18"/>
      <c r="L23" s="18"/>
      <c r="M23" s="18"/>
    </row>
    <row r="24" spans="1:13" x14ac:dyDescent="0.3">
      <c r="A24" s="5"/>
      <c r="B24" s="5"/>
      <c r="C24" s="5"/>
      <c r="D24" s="5"/>
      <c r="E24" s="5"/>
      <c r="F24" s="5"/>
      <c r="G24" s="5"/>
      <c r="H24" s="5"/>
      <c r="I24" s="4"/>
      <c r="J24" s="4"/>
      <c r="K24" s="4"/>
      <c r="L24" s="4"/>
      <c r="M24" s="4"/>
    </row>
    <row r="25" spans="1:13" x14ac:dyDescent="0.3">
      <c r="A25" s="17"/>
      <c r="B25" s="17"/>
      <c r="C25" s="17"/>
      <c r="D25" s="17"/>
      <c r="E25" s="17"/>
      <c r="F25" s="17"/>
      <c r="G25" s="17"/>
      <c r="H25" s="17"/>
      <c r="I25" s="18"/>
      <c r="J25" s="18"/>
      <c r="K25" s="18"/>
      <c r="L25" s="18"/>
      <c r="M25" s="18"/>
    </row>
    <row r="26" spans="1:13" x14ac:dyDescent="0.3">
      <c r="A26" s="5"/>
      <c r="B26" s="5"/>
      <c r="C26" s="5"/>
      <c r="D26" s="5"/>
      <c r="E26" s="5"/>
      <c r="F26" s="5"/>
      <c r="G26" s="5"/>
      <c r="H26" s="5"/>
      <c r="I26" s="4"/>
      <c r="J26" s="4"/>
      <c r="K26" s="4"/>
      <c r="L26" s="4"/>
      <c r="M26" s="4"/>
    </row>
    <row r="27" spans="1:13" x14ac:dyDescent="0.3">
      <c r="A27" s="17"/>
      <c r="B27" s="17"/>
      <c r="C27" s="17"/>
      <c r="D27" s="17"/>
      <c r="E27" s="17"/>
      <c r="F27" s="17"/>
      <c r="G27" s="17"/>
      <c r="H27" s="17"/>
      <c r="I27" s="18"/>
      <c r="J27" s="18"/>
      <c r="K27" s="18"/>
      <c r="L27" s="18"/>
      <c r="M27" s="18"/>
    </row>
    <row r="28" spans="1:13" x14ac:dyDescent="0.3">
      <c r="A28" s="5"/>
      <c r="B28" s="5"/>
      <c r="C28" s="5"/>
      <c r="D28" s="5"/>
      <c r="E28" s="5"/>
      <c r="F28" s="5"/>
      <c r="G28" s="5"/>
      <c r="H28" s="5"/>
      <c r="I28" s="4"/>
      <c r="J28" s="4"/>
      <c r="K28" s="4"/>
      <c r="L28" s="4"/>
      <c r="M28" s="4"/>
    </row>
    <row r="29" spans="1:13" x14ac:dyDescent="0.3">
      <c r="A29" s="17"/>
      <c r="B29" s="17"/>
      <c r="C29" s="17"/>
      <c r="D29" s="17"/>
      <c r="E29" s="17"/>
      <c r="F29" s="17"/>
      <c r="G29" s="17"/>
      <c r="H29" s="17"/>
      <c r="I29" s="18"/>
      <c r="J29" s="18"/>
      <c r="K29" s="18"/>
      <c r="L29" s="18"/>
      <c r="M29" s="18"/>
    </row>
  </sheetData>
  <mergeCells count="3">
    <mergeCell ref="A1:M1"/>
    <mergeCell ref="A2:M2"/>
    <mergeCell ref="A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workbookViewId="0">
      <pane ySplit="5" topLeftCell="A6" activePane="bottomLeft" state="frozen"/>
      <selection pane="bottomLeft" activeCell="A6" sqref="A6:A45"/>
    </sheetView>
  </sheetViews>
  <sheetFormatPr defaultRowHeight="14.4" x14ac:dyDescent="0.3"/>
  <cols>
    <col min="1" max="1" width="5" customWidth="1"/>
    <col min="2" max="2" width="13" customWidth="1"/>
    <col min="3" max="3" width="32" customWidth="1"/>
    <col min="4" max="4" width="18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</cols>
  <sheetData>
    <row r="1" spans="1:12" ht="25.95" customHeight="1" x14ac:dyDescent="0.3">
      <c r="A1" s="1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3.95" customHeight="1" x14ac:dyDescent="0.3">
      <c r="A2" s="13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6.05" customHeight="1" x14ac:dyDescent="0.3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5" spans="1:12" ht="19.95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</row>
    <row r="6" spans="1:12" x14ac:dyDescent="0.3">
      <c r="A6" s="2">
        <v>1</v>
      </c>
      <c r="B6" s="3" t="s">
        <v>12</v>
      </c>
      <c r="C6" s="3" t="s">
        <v>13</v>
      </c>
      <c r="D6" s="3" t="s">
        <v>14</v>
      </c>
      <c r="E6" s="2" t="s">
        <v>15</v>
      </c>
      <c r="F6" s="3" t="s">
        <v>16</v>
      </c>
      <c r="G6" s="3" t="s">
        <v>17</v>
      </c>
      <c r="H6" s="3" t="s">
        <v>18</v>
      </c>
      <c r="I6" s="2">
        <v>2024</v>
      </c>
      <c r="J6" s="2" t="s">
        <v>19</v>
      </c>
    </row>
    <row r="7" spans="1:12" x14ac:dyDescent="0.3">
      <c r="A7" s="4">
        <v>2</v>
      </c>
      <c r="B7" s="5" t="s">
        <v>20</v>
      </c>
      <c r="C7" s="5" t="s">
        <v>21</v>
      </c>
      <c r="D7" s="5" t="s">
        <v>22</v>
      </c>
      <c r="E7" s="4" t="s">
        <v>23</v>
      </c>
      <c r="F7" s="5" t="s">
        <v>16</v>
      </c>
      <c r="G7" s="5" t="s">
        <v>24</v>
      </c>
      <c r="H7" s="5" t="s">
        <v>25</v>
      </c>
      <c r="I7" s="4">
        <v>2024</v>
      </c>
      <c r="J7" s="4" t="s">
        <v>19</v>
      </c>
    </row>
    <row r="8" spans="1:12" x14ac:dyDescent="0.3">
      <c r="A8" s="2">
        <v>3</v>
      </c>
      <c r="B8" s="3" t="s">
        <v>26</v>
      </c>
      <c r="C8" s="3" t="s">
        <v>27</v>
      </c>
      <c r="D8" s="3" t="s">
        <v>28</v>
      </c>
      <c r="E8" s="2" t="s">
        <v>15</v>
      </c>
      <c r="F8" s="3" t="s">
        <v>16</v>
      </c>
      <c r="G8" s="3" t="s">
        <v>29</v>
      </c>
      <c r="H8" s="3" t="s">
        <v>30</v>
      </c>
      <c r="I8" s="2">
        <v>2024</v>
      </c>
      <c r="J8" s="2" t="s">
        <v>19</v>
      </c>
    </row>
    <row r="9" spans="1:12" x14ac:dyDescent="0.3">
      <c r="A9" s="4">
        <v>4</v>
      </c>
      <c r="B9" s="5" t="s">
        <v>31</v>
      </c>
      <c r="C9" s="5" t="s">
        <v>32</v>
      </c>
      <c r="D9" s="5" t="s">
        <v>33</v>
      </c>
      <c r="E9" s="4" t="s">
        <v>23</v>
      </c>
      <c r="F9" s="5" t="s">
        <v>16</v>
      </c>
      <c r="G9" s="5" t="s">
        <v>34</v>
      </c>
      <c r="H9" s="5" t="s">
        <v>35</v>
      </c>
      <c r="I9" s="4">
        <v>2024</v>
      </c>
      <c r="J9" s="4" t="s">
        <v>19</v>
      </c>
    </row>
    <row r="10" spans="1:12" x14ac:dyDescent="0.3">
      <c r="A10" s="2">
        <v>5</v>
      </c>
      <c r="B10" s="3" t="s">
        <v>36</v>
      </c>
      <c r="C10" s="3" t="s">
        <v>37</v>
      </c>
      <c r="D10" s="3" t="s">
        <v>38</v>
      </c>
      <c r="E10" s="2" t="s">
        <v>15</v>
      </c>
      <c r="F10" s="3" t="s">
        <v>16</v>
      </c>
      <c r="G10" s="3" t="s">
        <v>17</v>
      </c>
      <c r="H10" s="3" t="s">
        <v>39</v>
      </c>
      <c r="I10" s="2">
        <v>2024</v>
      </c>
      <c r="J10" s="2" t="s">
        <v>40</v>
      </c>
    </row>
    <row r="11" spans="1:12" x14ac:dyDescent="0.3">
      <c r="A11" s="4">
        <v>6</v>
      </c>
      <c r="B11" s="5" t="s">
        <v>41</v>
      </c>
      <c r="C11" s="5" t="s">
        <v>42</v>
      </c>
      <c r="D11" s="5" t="s">
        <v>43</v>
      </c>
      <c r="E11" s="4" t="s">
        <v>23</v>
      </c>
      <c r="F11" s="5" t="s">
        <v>16</v>
      </c>
      <c r="G11" s="5" t="s">
        <v>24</v>
      </c>
      <c r="H11" s="5" t="s">
        <v>44</v>
      </c>
      <c r="I11" s="4">
        <v>2024</v>
      </c>
      <c r="J11" s="4" t="s">
        <v>19</v>
      </c>
    </row>
    <row r="12" spans="1:12" x14ac:dyDescent="0.3">
      <c r="A12" s="2">
        <v>7</v>
      </c>
      <c r="B12" s="3" t="s">
        <v>45</v>
      </c>
      <c r="C12" s="3" t="s">
        <v>46</v>
      </c>
      <c r="D12" s="3" t="s">
        <v>47</v>
      </c>
      <c r="E12" s="2" t="s">
        <v>15</v>
      </c>
      <c r="F12" s="3" t="s">
        <v>16</v>
      </c>
      <c r="G12" s="3" t="s">
        <v>29</v>
      </c>
      <c r="H12" s="3" t="s">
        <v>48</v>
      </c>
      <c r="I12" s="2">
        <v>2024</v>
      </c>
      <c r="J12" s="2" t="s">
        <v>19</v>
      </c>
    </row>
    <row r="13" spans="1:12" x14ac:dyDescent="0.3">
      <c r="A13" s="4">
        <v>8</v>
      </c>
      <c r="B13" s="5" t="s">
        <v>49</v>
      </c>
      <c r="C13" s="5" t="s">
        <v>50</v>
      </c>
      <c r="D13" s="5" t="s">
        <v>51</v>
      </c>
      <c r="E13" s="4" t="s">
        <v>23</v>
      </c>
      <c r="F13" s="5" t="s">
        <v>16</v>
      </c>
      <c r="G13" s="5" t="s">
        <v>34</v>
      </c>
      <c r="H13" s="5" t="s">
        <v>52</v>
      </c>
      <c r="I13" s="4">
        <v>2024</v>
      </c>
      <c r="J13" s="4" t="s">
        <v>40</v>
      </c>
    </row>
    <row r="14" spans="1:12" x14ac:dyDescent="0.3">
      <c r="A14" s="2">
        <v>9</v>
      </c>
      <c r="B14" s="3" t="s">
        <v>53</v>
      </c>
      <c r="C14" s="3" t="s">
        <v>54</v>
      </c>
      <c r="D14" s="3" t="s">
        <v>55</v>
      </c>
      <c r="E14" s="2" t="s">
        <v>15</v>
      </c>
      <c r="F14" s="3" t="s">
        <v>16</v>
      </c>
      <c r="G14" s="3" t="s">
        <v>17</v>
      </c>
      <c r="H14" s="3" t="s">
        <v>56</v>
      </c>
      <c r="I14" s="2">
        <v>2024</v>
      </c>
      <c r="J14" s="2" t="s">
        <v>19</v>
      </c>
    </row>
    <row r="15" spans="1:12" x14ac:dyDescent="0.3">
      <c r="A15" s="4">
        <v>10</v>
      </c>
      <c r="B15" s="5" t="s">
        <v>57</v>
      </c>
      <c r="C15" s="5" t="s">
        <v>58</v>
      </c>
      <c r="D15" s="5" t="s">
        <v>59</v>
      </c>
      <c r="E15" s="4" t="s">
        <v>23</v>
      </c>
      <c r="F15" s="5" t="s">
        <v>16</v>
      </c>
      <c r="G15" s="5" t="s">
        <v>24</v>
      </c>
      <c r="H15" s="5" t="s">
        <v>60</v>
      </c>
      <c r="I15" s="4">
        <v>2024</v>
      </c>
      <c r="J15" s="4" t="s">
        <v>40</v>
      </c>
    </row>
    <row r="16" spans="1:12" x14ac:dyDescent="0.3">
      <c r="A16" s="2">
        <v>11</v>
      </c>
      <c r="B16" s="3" t="s">
        <v>61</v>
      </c>
      <c r="C16" s="3" t="s">
        <v>62</v>
      </c>
      <c r="D16" s="3" t="s">
        <v>63</v>
      </c>
      <c r="E16" s="2" t="s">
        <v>15</v>
      </c>
      <c r="F16" s="3" t="s">
        <v>16</v>
      </c>
      <c r="G16" s="3" t="s">
        <v>29</v>
      </c>
      <c r="H16" s="3" t="s">
        <v>64</v>
      </c>
      <c r="I16" s="2">
        <v>2024</v>
      </c>
      <c r="J16" s="2" t="s">
        <v>19</v>
      </c>
    </row>
    <row r="17" spans="1:10" x14ac:dyDescent="0.3">
      <c r="A17" s="4">
        <v>12</v>
      </c>
      <c r="B17" s="5" t="s">
        <v>65</v>
      </c>
      <c r="C17" s="5" t="s">
        <v>66</v>
      </c>
      <c r="D17" s="5" t="s">
        <v>67</v>
      </c>
      <c r="E17" s="4" t="s">
        <v>23</v>
      </c>
      <c r="F17" s="5" t="s">
        <v>16</v>
      </c>
      <c r="G17" s="5" t="s">
        <v>34</v>
      </c>
      <c r="H17" s="5" t="s">
        <v>68</v>
      </c>
      <c r="I17" s="4">
        <v>2024</v>
      </c>
      <c r="J17" s="4" t="s">
        <v>40</v>
      </c>
    </row>
    <row r="18" spans="1:10" x14ac:dyDescent="0.3">
      <c r="A18" s="2">
        <v>13</v>
      </c>
      <c r="B18" s="3" t="s">
        <v>69</v>
      </c>
      <c r="C18" s="3" t="s">
        <v>70</v>
      </c>
      <c r="D18" s="3" t="s">
        <v>71</v>
      </c>
      <c r="E18" s="2" t="s">
        <v>15</v>
      </c>
      <c r="F18" s="3" t="s">
        <v>16</v>
      </c>
      <c r="G18" s="3" t="s">
        <v>17</v>
      </c>
      <c r="H18" s="3" t="s">
        <v>18</v>
      </c>
      <c r="I18" s="2">
        <v>2024</v>
      </c>
      <c r="J18" s="2" t="s">
        <v>19</v>
      </c>
    </row>
    <row r="19" spans="1:10" x14ac:dyDescent="0.3">
      <c r="A19" s="4">
        <v>14</v>
      </c>
      <c r="B19" s="5" t="s">
        <v>72</v>
      </c>
      <c r="C19" s="5" t="s">
        <v>73</v>
      </c>
      <c r="D19" s="5" t="s">
        <v>74</v>
      </c>
      <c r="E19" s="4" t="s">
        <v>23</v>
      </c>
      <c r="F19" s="5" t="s">
        <v>16</v>
      </c>
      <c r="G19" s="5" t="s">
        <v>24</v>
      </c>
      <c r="H19" s="5" t="s">
        <v>25</v>
      </c>
      <c r="I19" s="4">
        <v>2024</v>
      </c>
      <c r="J19" s="4" t="s">
        <v>19</v>
      </c>
    </row>
    <row r="20" spans="1:10" x14ac:dyDescent="0.3">
      <c r="A20" s="2">
        <v>15</v>
      </c>
      <c r="B20" s="3" t="s">
        <v>75</v>
      </c>
      <c r="C20" s="3" t="s">
        <v>76</v>
      </c>
      <c r="D20" s="3" t="s">
        <v>77</v>
      </c>
      <c r="E20" s="2" t="s">
        <v>15</v>
      </c>
      <c r="F20" s="3" t="s">
        <v>16</v>
      </c>
      <c r="G20" s="3" t="s">
        <v>29</v>
      </c>
      <c r="H20" s="3" t="s">
        <v>30</v>
      </c>
      <c r="I20" s="2">
        <v>2024</v>
      </c>
      <c r="J20" s="2" t="s">
        <v>40</v>
      </c>
    </row>
    <row r="21" spans="1:10" x14ac:dyDescent="0.3">
      <c r="A21" s="4">
        <v>16</v>
      </c>
      <c r="B21" s="5" t="s">
        <v>78</v>
      </c>
      <c r="C21" s="5" t="s">
        <v>79</v>
      </c>
      <c r="D21" s="5" t="s">
        <v>80</v>
      </c>
      <c r="E21" s="4" t="s">
        <v>23</v>
      </c>
      <c r="F21" s="5" t="s">
        <v>16</v>
      </c>
      <c r="G21" s="5" t="s">
        <v>34</v>
      </c>
      <c r="H21" s="5" t="s">
        <v>35</v>
      </c>
      <c r="I21" s="4">
        <v>2024</v>
      </c>
      <c r="J21" s="4" t="s">
        <v>19</v>
      </c>
    </row>
    <row r="22" spans="1:10" x14ac:dyDescent="0.3">
      <c r="A22" s="2">
        <v>17</v>
      </c>
      <c r="B22" s="3" t="s">
        <v>81</v>
      </c>
      <c r="C22" s="3" t="s">
        <v>82</v>
      </c>
      <c r="D22" s="3" t="s">
        <v>83</v>
      </c>
      <c r="E22" s="2" t="s">
        <v>15</v>
      </c>
      <c r="F22" s="3" t="s">
        <v>16</v>
      </c>
      <c r="G22" s="3" t="s">
        <v>17</v>
      </c>
      <c r="H22" s="3" t="s">
        <v>39</v>
      </c>
      <c r="I22" s="2">
        <v>2024</v>
      </c>
      <c r="J22" s="2" t="s">
        <v>40</v>
      </c>
    </row>
    <row r="23" spans="1:10" x14ac:dyDescent="0.3">
      <c r="A23" s="4">
        <v>18</v>
      </c>
      <c r="B23" s="5" t="s">
        <v>84</v>
      </c>
      <c r="C23" s="5" t="s">
        <v>85</v>
      </c>
      <c r="D23" s="5" t="s">
        <v>86</v>
      </c>
      <c r="E23" s="4" t="s">
        <v>23</v>
      </c>
      <c r="F23" s="5" t="s">
        <v>16</v>
      </c>
      <c r="G23" s="5" t="s">
        <v>24</v>
      </c>
      <c r="H23" s="5" t="s">
        <v>44</v>
      </c>
      <c r="I23" s="4">
        <v>2024</v>
      </c>
      <c r="J23" s="4" t="s">
        <v>19</v>
      </c>
    </row>
    <row r="24" spans="1:10" x14ac:dyDescent="0.3">
      <c r="A24" s="2">
        <v>19</v>
      </c>
      <c r="B24" s="3" t="s">
        <v>87</v>
      </c>
      <c r="C24" s="3" t="s">
        <v>88</v>
      </c>
      <c r="D24" s="3" t="s">
        <v>89</v>
      </c>
      <c r="E24" s="2" t="s">
        <v>15</v>
      </c>
      <c r="F24" s="3" t="s">
        <v>16</v>
      </c>
      <c r="G24" s="3" t="s">
        <v>29</v>
      </c>
      <c r="H24" s="3" t="s">
        <v>48</v>
      </c>
      <c r="I24" s="2">
        <v>2024</v>
      </c>
      <c r="J24" s="2" t="s">
        <v>19</v>
      </c>
    </row>
    <row r="25" spans="1:10" x14ac:dyDescent="0.3">
      <c r="A25" s="4">
        <v>20</v>
      </c>
      <c r="B25" s="5" t="s">
        <v>90</v>
      </c>
      <c r="C25" s="5" t="s">
        <v>91</v>
      </c>
      <c r="D25" s="5" t="s">
        <v>92</v>
      </c>
      <c r="E25" s="4" t="s">
        <v>23</v>
      </c>
      <c r="F25" s="5" t="s">
        <v>16</v>
      </c>
      <c r="G25" s="5" t="s">
        <v>34</v>
      </c>
      <c r="H25" s="5" t="s">
        <v>52</v>
      </c>
      <c r="I25" s="4">
        <v>2024</v>
      </c>
      <c r="J25" s="4" t="s">
        <v>19</v>
      </c>
    </row>
    <row r="26" spans="1:10" x14ac:dyDescent="0.3">
      <c r="A26" s="2">
        <v>21</v>
      </c>
      <c r="B26" s="3" t="s">
        <v>93</v>
      </c>
      <c r="C26" s="3" t="s">
        <v>94</v>
      </c>
      <c r="D26" s="3" t="s">
        <v>95</v>
      </c>
      <c r="E26" s="2" t="s">
        <v>15</v>
      </c>
      <c r="F26" s="3" t="s">
        <v>16</v>
      </c>
      <c r="G26" s="3" t="s">
        <v>17</v>
      </c>
      <c r="H26" s="3" t="s">
        <v>56</v>
      </c>
      <c r="I26" s="2">
        <v>2024</v>
      </c>
      <c r="J26" s="2" t="s">
        <v>19</v>
      </c>
    </row>
    <row r="27" spans="1:10" x14ac:dyDescent="0.3">
      <c r="A27" s="4">
        <v>22</v>
      </c>
      <c r="B27" s="5" t="s">
        <v>96</v>
      </c>
      <c r="C27" s="5" t="s">
        <v>97</v>
      </c>
      <c r="D27" s="5" t="s">
        <v>98</v>
      </c>
      <c r="E27" s="4" t="s">
        <v>23</v>
      </c>
      <c r="F27" s="5" t="s">
        <v>16</v>
      </c>
      <c r="G27" s="5" t="s">
        <v>24</v>
      </c>
      <c r="H27" s="5" t="s">
        <v>60</v>
      </c>
      <c r="I27" s="4">
        <v>2024</v>
      </c>
      <c r="J27" s="4" t="s">
        <v>40</v>
      </c>
    </row>
    <row r="28" spans="1:10" x14ac:dyDescent="0.3">
      <c r="A28" s="2">
        <v>23</v>
      </c>
      <c r="B28" s="3" t="s">
        <v>99</v>
      </c>
      <c r="C28" s="3" t="s">
        <v>100</v>
      </c>
      <c r="D28" s="3" t="s">
        <v>101</v>
      </c>
      <c r="E28" s="2" t="s">
        <v>15</v>
      </c>
      <c r="F28" s="3" t="s">
        <v>16</v>
      </c>
      <c r="G28" s="3" t="s">
        <v>29</v>
      </c>
      <c r="H28" s="3" t="s">
        <v>64</v>
      </c>
      <c r="I28" s="2">
        <v>2024</v>
      </c>
      <c r="J28" s="2" t="s">
        <v>40</v>
      </c>
    </row>
    <row r="29" spans="1:10" x14ac:dyDescent="0.3">
      <c r="A29" s="4">
        <v>24</v>
      </c>
      <c r="B29" s="5" t="s">
        <v>102</v>
      </c>
      <c r="C29" s="5" t="s">
        <v>103</v>
      </c>
      <c r="D29" s="5" t="s">
        <v>104</v>
      </c>
      <c r="E29" s="4" t="s">
        <v>23</v>
      </c>
      <c r="F29" s="5" t="s">
        <v>16</v>
      </c>
      <c r="G29" s="5" t="s">
        <v>34</v>
      </c>
      <c r="H29" s="5" t="s">
        <v>68</v>
      </c>
      <c r="I29" s="4">
        <v>2024</v>
      </c>
      <c r="J29" s="4" t="s">
        <v>40</v>
      </c>
    </row>
    <row r="30" spans="1:10" x14ac:dyDescent="0.3">
      <c r="A30" s="2">
        <v>25</v>
      </c>
      <c r="B30" s="3" t="s">
        <v>105</v>
      </c>
      <c r="C30" s="3" t="s">
        <v>106</v>
      </c>
      <c r="D30" s="3" t="s">
        <v>107</v>
      </c>
      <c r="E30" s="2" t="s">
        <v>15</v>
      </c>
      <c r="F30" s="3" t="s">
        <v>16</v>
      </c>
      <c r="G30" s="3" t="s">
        <v>17</v>
      </c>
      <c r="H30" s="3" t="s">
        <v>18</v>
      </c>
      <c r="I30" s="2">
        <v>2024</v>
      </c>
      <c r="J30" s="2" t="s">
        <v>40</v>
      </c>
    </row>
    <row r="31" spans="1:10" x14ac:dyDescent="0.3">
      <c r="A31" s="4">
        <v>26</v>
      </c>
      <c r="B31" s="5" t="s">
        <v>108</v>
      </c>
      <c r="C31" s="5" t="s">
        <v>109</v>
      </c>
      <c r="D31" s="5" t="s">
        <v>110</v>
      </c>
      <c r="E31" s="4" t="s">
        <v>23</v>
      </c>
      <c r="F31" s="5" t="s">
        <v>16</v>
      </c>
      <c r="G31" s="5" t="s">
        <v>24</v>
      </c>
      <c r="H31" s="5" t="s">
        <v>25</v>
      </c>
      <c r="I31" s="4">
        <v>2024</v>
      </c>
      <c r="J31" s="4" t="s">
        <v>19</v>
      </c>
    </row>
    <row r="32" spans="1:10" x14ac:dyDescent="0.3">
      <c r="A32" s="2">
        <v>27</v>
      </c>
      <c r="B32" s="3" t="s">
        <v>111</v>
      </c>
      <c r="C32" s="3" t="s">
        <v>112</v>
      </c>
      <c r="D32" s="3" t="s">
        <v>113</v>
      </c>
      <c r="E32" s="2" t="s">
        <v>15</v>
      </c>
      <c r="F32" s="3" t="s">
        <v>16</v>
      </c>
      <c r="G32" s="3" t="s">
        <v>29</v>
      </c>
      <c r="H32" s="3" t="s">
        <v>30</v>
      </c>
      <c r="I32" s="2">
        <v>2024</v>
      </c>
      <c r="J32" s="2" t="s">
        <v>19</v>
      </c>
    </row>
    <row r="33" spans="1:10" x14ac:dyDescent="0.3">
      <c r="A33" s="4">
        <v>28</v>
      </c>
      <c r="B33" s="5" t="s">
        <v>114</v>
      </c>
      <c r="C33" s="5" t="s">
        <v>115</v>
      </c>
      <c r="D33" s="5" t="s">
        <v>116</v>
      </c>
      <c r="E33" s="4" t="s">
        <v>23</v>
      </c>
      <c r="F33" s="5" t="s">
        <v>16</v>
      </c>
      <c r="G33" s="5" t="s">
        <v>34</v>
      </c>
      <c r="H33" s="5" t="s">
        <v>35</v>
      </c>
      <c r="I33" s="4">
        <v>2024</v>
      </c>
      <c r="J33" s="4" t="s">
        <v>19</v>
      </c>
    </row>
    <row r="34" spans="1:10" x14ac:dyDescent="0.3">
      <c r="A34" s="2">
        <v>29</v>
      </c>
      <c r="B34" s="3" t="s">
        <v>117</v>
      </c>
      <c r="C34" s="3" t="s">
        <v>118</v>
      </c>
      <c r="D34" s="3" t="s">
        <v>119</v>
      </c>
      <c r="E34" s="2" t="s">
        <v>15</v>
      </c>
      <c r="F34" s="3" t="s">
        <v>16</v>
      </c>
      <c r="G34" s="3" t="s">
        <v>17</v>
      </c>
      <c r="H34" s="3" t="s">
        <v>39</v>
      </c>
      <c r="I34" s="2">
        <v>2024</v>
      </c>
      <c r="J34" s="2" t="s">
        <v>19</v>
      </c>
    </row>
    <row r="35" spans="1:10" x14ac:dyDescent="0.3">
      <c r="A35" s="4">
        <v>30</v>
      </c>
      <c r="B35" s="5" t="s">
        <v>120</v>
      </c>
      <c r="C35" s="5" t="s">
        <v>121</v>
      </c>
      <c r="D35" s="5" t="s">
        <v>122</v>
      </c>
      <c r="E35" s="4" t="s">
        <v>23</v>
      </c>
      <c r="F35" s="5" t="s">
        <v>16</v>
      </c>
      <c r="G35" s="5" t="s">
        <v>24</v>
      </c>
      <c r="H35" s="5" t="s">
        <v>44</v>
      </c>
      <c r="I35" s="4">
        <v>2024</v>
      </c>
      <c r="J35" s="4" t="s">
        <v>19</v>
      </c>
    </row>
    <row r="36" spans="1:10" x14ac:dyDescent="0.3">
      <c r="A36" s="2">
        <v>31</v>
      </c>
      <c r="B36" s="3" t="s">
        <v>123</v>
      </c>
      <c r="C36" s="3" t="s">
        <v>124</v>
      </c>
      <c r="D36" s="3" t="s">
        <v>125</v>
      </c>
      <c r="E36" s="2" t="s">
        <v>15</v>
      </c>
      <c r="F36" s="3" t="s">
        <v>16</v>
      </c>
      <c r="G36" s="3" t="s">
        <v>29</v>
      </c>
      <c r="H36" s="3" t="s">
        <v>48</v>
      </c>
      <c r="I36" s="2">
        <v>2024</v>
      </c>
      <c r="J36" s="2" t="s">
        <v>19</v>
      </c>
    </row>
    <row r="37" spans="1:10" x14ac:dyDescent="0.3">
      <c r="A37" s="4">
        <v>32</v>
      </c>
      <c r="B37" s="5" t="s">
        <v>126</v>
      </c>
      <c r="C37" s="5" t="s">
        <v>127</v>
      </c>
      <c r="D37" s="5" t="s">
        <v>128</v>
      </c>
      <c r="E37" s="4" t="s">
        <v>23</v>
      </c>
      <c r="F37" s="5" t="s">
        <v>16</v>
      </c>
      <c r="G37" s="5" t="s">
        <v>34</v>
      </c>
      <c r="H37" s="5" t="s">
        <v>52</v>
      </c>
      <c r="I37" s="4">
        <v>2024</v>
      </c>
      <c r="J37" s="4" t="s">
        <v>19</v>
      </c>
    </row>
    <row r="38" spans="1:10" x14ac:dyDescent="0.3">
      <c r="A38" s="2">
        <v>33</v>
      </c>
      <c r="B38" s="3" t="s">
        <v>129</v>
      </c>
      <c r="C38" s="3" t="s">
        <v>130</v>
      </c>
      <c r="D38" s="3" t="s">
        <v>131</v>
      </c>
      <c r="E38" s="2" t="s">
        <v>15</v>
      </c>
      <c r="F38" s="3" t="s">
        <v>16</v>
      </c>
      <c r="G38" s="3" t="s">
        <v>17</v>
      </c>
      <c r="H38" s="3" t="s">
        <v>56</v>
      </c>
      <c r="I38" s="2">
        <v>2024</v>
      </c>
      <c r="J38" s="2" t="s">
        <v>19</v>
      </c>
    </row>
    <row r="39" spans="1:10" x14ac:dyDescent="0.3">
      <c r="A39" s="4">
        <v>34</v>
      </c>
      <c r="B39" s="5" t="s">
        <v>132</v>
      </c>
      <c r="C39" s="5" t="s">
        <v>133</v>
      </c>
      <c r="D39" s="5" t="s">
        <v>134</v>
      </c>
      <c r="E39" s="4" t="s">
        <v>23</v>
      </c>
      <c r="F39" s="5" t="s">
        <v>16</v>
      </c>
      <c r="G39" s="5" t="s">
        <v>24</v>
      </c>
      <c r="H39" s="5" t="s">
        <v>60</v>
      </c>
      <c r="I39" s="4">
        <v>2024</v>
      </c>
      <c r="J39" s="4" t="s">
        <v>19</v>
      </c>
    </row>
    <row r="40" spans="1:10" x14ac:dyDescent="0.3">
      <c r="A40" s="2">
        <v>35</v>
      </c>
      <c r="B40" s="3" t="s">
        <v>135</v>
      </c>
      <c r="C40" s="3" t="s">
        <v>136</v>
      </c>
      <c r="D40" s="3" t="s">
        <v>137</v>
      </c>
      <c r="E40" s="2" t="s">
        <v>15</v>
      </c>
      <c r="F40" s="3" t="s">
        <v>16</v>
      </c>
      <c r="G40" s="3" t="s">
        <v>29</v>
      </c>
      <c r="H40" s="3" t="s">
        <v>64</v>
      </c>
      <c r="I40" s="2">
        <v>2024</v>
      </c>
      <c r="J40" s="2" t="s">
        <v>19</v>
      </c>
    </row>
    <row r="41" spans="1:10" x14ac:dyDescent="0.3">
      <c r="A41" s="4">
        <v>36</v>
      </c>
      <c r="B41" s="5" t="s">
        <v>138</v>
      </c>
      <c r="C41" s="5" t="s">
        <v>139</v>
      </c>
      <c r="D41" s="5" t="s">
        <v>140</v>
      </c>
      <c r="E41" s="4" t="s">
        <v>23</v>
      </c>
      <c r="F41" s="5" t="s">
        <v>16</v>
      </c>
      <c r="G41" s="5" t="s">
        <v>34</v>
      </c>
      <c r="H41" s="5" t="s">
        <v>68</v>
      </c>
      <c r="I41" s="4">
        <v>2024</v>
      </c>
      <c r="J41" s="4" t="s">
        <v>19</v>
      </c>
    </row>
    <row r="42" spans="1:10" x14ac:dyDescent="0.3">
      <c r="A42" s="2">
        <v>37</v>
      </c>
      <c r="B42" s="3" t="s">
        <v>141</v>
      </c>
      <c r="C42" s="3" t="s">
        <v>142</v>
      </c>
      <c r="D42" s="3" t="s">
        <v>143</v>
      </c>
      <c r="E42" s="2" t="s">
        <v>15</v>
      </c>
      <c r="F42" s="3" t="s">
        <v>16</v>
      </c>
      <c r="G42" s="3" t="s">
        <v>17</v>
      </c>
      <c r="H42" s="3" t="s">
        <v>18</v>
      </c>
      <c r="I42" s="2">
        <v>2024</v>
      </c>
      <c r="J42" s="2" t="s">
        <v>19</v>
      </c>
    </row>
    <row r="43" spans="1:10" x14ac:dyDescent="0.3">
      <c r="A43" s="4">
        <v>38</v>
      </c>
      <c r="B43" s="5" t="s">
        <v>144</v>
      </c>
      <c r="C43" s="5" t="s">
        <v>145</v>
      </c>
      <c r="D43" s="5" t="s">
        <v>146</v>
      </c>
      <c r="E43" s="4" t="s">
        <v>23</v>
      </c>
      <c r="F43" s="5" t="s">
        <v>16</v>
      </c>
      <c r="G43" s="5" t="s">
        <v>24</v>
      </c>
      <c r="H43" s="5" t="s">
        <v>25</v>
      </c>
      <c r="I43" s="4">
        <v>2024</v>
      </c>
      <c r="J43" s="4" t="s">
        <v>40</v>
      </c>
    </row>
    <row r="44" spans="1:10" x14ac:dyDescent="0.3">
      <c r="A44" s="2">
        <v>39</v>
      </c>
      <c r="B44" s="3" t="s">
        <v>147</v>
      </c>
      <c r="C44" s="3" t="s">
        <v>148</v>
      </c>
      <c r="D44" s="3" t="s">
        <v>149</v>
      </c>
      <c r="E44" s="2" t="s">
        <v>15</v>
      </c>
      <c r="F44" s="3" t="s">
        <v>16</v>
      </c>
      <c r="G44" s="3" t="s">
        <v>29</v>
      </c>
      <c r="H44" s="3" t="s">
        <v>30</v>
      </c>
      <c r="I44" s="2">
        <v>2024</v>
      </c>
      <c r="J44" s="2" t="s">
        <v>40</v>
      </c>
    </row>
    <row r="45" spans="1:10" x14ac:dyDescent="0.3">
      <c r="A45" s="4">
        <v>40</v>
      </c>
      <c r="B45" s="5" t="s">
        <v>150</v>
      </c>
      <c r="C45" s="5" t="s">
        <v>151</v>
      </c>
      <c r="D45" s="5" t="s">
        <v>152</v>
      </c>
      <c r="E45" s="4" t="s">
        <v>23</v>
      </c>
      <c r="F45" s="5" t="s">
        <v>16</v>
      </c>
      <c r="G45" s="5" t="s">
        <v>34</v>
      </c>
      <c r="H45" s="5" t="s">
        <v>35</v>
      </c>
      <c r="I45" s="4">
        <v>2024</v>
      </c>
      <c r="J45" s="4" t="s">
        <v>19</v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pane ySplit="5" topLeftCell="A6" activePane="bottomLeft" state="frozen"/>
      <selection pane="bottomLeft" sqref="A1:J1"/>
    </sheetView>
  </sheetViews>
  <sheetFormatPr defaultRowHeight="14.4" x14ac:dyDescent="0.3"/>
  <cols>
    <col min="1" max="1" width="5" customWidth="1"/>
    <col min="2" max="2" width="25" customWidth="1"/>
    <col min="3" max="3" width="20" customWidth="1"/>
    <col min="4" max="4" width="15" customWidth="1"/>
    <col min="5" max="5" width="20" customWidth="1"/>
    <col min="6" max="6" width="30" customWidth="1"/>
  </cols>
  <sheetData>
    <row r="1" spans="1:10" ht="25.95" customHeight="1" x14ac:dyDescent="0.3">
      <c r="A1" s="14" t="s">
        <v>153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3.95" customHeight="1" x14ac:dyDescent="0.3">
      <c r="A2" s="13" t="s">
        <v>154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16.05" customHeight="1" x14ac:dyDescent="0.3">
      <c r="A3" s="11" t="s">
        <v>155</v>
      </c>
      <c r="B3" s="12"/>
      <c r="C3" s="12"/>
      <c r="D3" s="12"/>
      <c r="E3" s="12"/>
      <c r="F3" s="12"/>
      <c r="G3" s="12"/>
      <c r="H3" s="12"/>
      <c r="I3" s="12"/>
      <c r="J3" s="12"/>
    </row>
    <row r="5" spans="1:10" ht="19.95" customHeight="1" x14ac:dyDescent="0.3">
      <c r="A5" s="1" t="s">
        <v>2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</row>
    <row r="6" spans="1:10" x14ac:dyDescent="0.3">
      <c r="A6" s="3">
        <v>1</v>
      </c>
      <c r="B6" s="3" t="s">
        <v>161</v>
      </c>
      <c r="C6" s="3" t="s">
        <v>162</v>
      </c>
      <c r="D6" s="6" t="s">
        <v>163</v>
      </c>
      <c r="E6" s="7"/>
      <c r="F6" s="3" t="s">
        <v>164</v>
      </c>
    </row>
    <row r="7" spans="1:10" x14ac:dyDescent="0.3">
      <c r="A7" s="5">
        <v>2</v>
      </c>
      <c r="B7" s="5" t="s">
        <v>3</v>
      </c>
      <c r="C7" s="5" t="s">
        <v>165</v>
      </c>
      <c r="D7" s="8" t="s">
        <v>163</v>
      </c>
      <c r="E7" s="7"/>
      <c r="F7" s="5" t="s">
        <v>166</v>
      </c>
    </row>
    <row r="8" spans="1:10" x14ac:dyDescent="0.3">
      <c r="A8" s="3">
        <v>3</v>
      </c>
      <c r="B8" s="3" t="s">
        <v>167</v>
      </c>
      <c r="C8" s="3">
        <v>87</v>
      </c>
      <c r="D8" s="6" t="s">
        <v>168</v>
      </c>
      <c r="E8" s="7"/>
      <c r="F8" s="3" t="s">
        <v>169</v>
      </c>
    </row>
    <row r="9" spans="1:10" x14ac:dyDescent="0.3">
      <c r="A9" s="5">
        <v>4</v>
      </c>
      <c r="B9" s="5" t="s">
        <v>170</v>
      </c>
      <c r="C9" s="5" t="s">
        <v>171</v>
      </c>
      <c r="D9" s="8" t="s">
        <v>172</v>
      </c>
      <c r="E9" s="7"/>
      <c r="F9" s="5" t="s">
        <v>173</v>
      </c>
    </row>
    <row r="10" spans="1:10" x14ac:dyDescent="0.3">
      <c r="A10" s="3">
        <v>5</v>
      </c>
      <c r="B10" s="3" t="s">
        <v>174</v>
      </c>
      <c r="C10" s="3" t="str">
        <f ca="1">SUM(C6:C13)</f>
        <v/>
      </c>
      <c r="D10" s="6" t="s">
        <v>175</v>
      </c>
      <c r="E10" s="7"/>
      <c r="F10" s="3" t="s">
        <v>176</v>
      </c>
    </row>
    <row r="11" spans="1:10" x14ac:dyDescent="0.3">
      <c r="A11" s="5">
        <v>6</v>
      </c>
      <c r="B11" s="5" t="s">
        <v>177</v>
      </c>
      <c r="C11" s="5" t="s">
        <v>178</v>
      </c>
      <c r="D11" s="8" t="s">
        <v>179</v>
      </c>
      <c r="E11" s="7"/>
      <c r="F11" s="5" t="s">
        <v>180</v>
      </c>
    </row>
    <row r="12" spans="1:10" x14ac:dyDescent="0.3">
      <c r="A12" s="3">
        <v>7</v>
      </c>
      <c r="B12" s="3" t="s">
        <v>181</v>
      </c>
      <c r="C12" s="3" t="s">
        <v>182</v>
      </c>
      <c r="D12" s="6" t="s">
        <v>163</v>
      </c>
      <c r="E12" s="7"/>
      <c r="F12" s="3" t="s">
        <v>183</v>
      </c>
    </row>
    <row r="13" spans="1:10" x14ac:dyDescent="0.3">
      <c r="A13" s="5">
        <v>8</v>
      </c>
      <c r="B13" s="5" t="s">
        <v>184</v>
      </c>
      <c r="C13" s="5">
        <v>3.45</v>
      </c>
      <c r="D13" s="8" t="s">
        <v>185</v>
      </c>
      <c r="E13" s="7"/>
      <c r="F13" s="5" t="s">
        <v>186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5"/>
  <sheetViews>
    <sheetView workbookViewId="0">
      <pane ySplit="5" topLeftCell="A6" activePane="bottomLeft" state="frozen"/>
      <selection pane="bottomLeft" activeCell="D13" sqref="D13"/>
    </sheetView>
  </sheetViews>
  <sheetFormatPr defaultRowHeight="14.4" x14ac:dyDescent="0.3"/>
  <cols>
    <col min="1" max="1" width="5" customWidth="1"/>
    <col min="2" max="2" width="18" customWidth="1"/>
    <col min="3" max="3" width="30" customWidth="1"/>
    <col min="4" max="5" width="20" customWidth="1"/>
    <col min="6" max="6" width="16" customWidth="1"/>
  </cols>
  <sheetData>
    <row r="1" spans="1:10" ht="25.95" customHeight="1" x14ac:dyDescent="0.3">
      <c r="A1" s="14" t="s">
        <v>187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3.95" customHeight="1" x14ac:dyDescent="0.3">
      <c r="A2" s="13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34.200000000000003" customHeight="1" x14ac:dyDescent="0.3">
      <c r="A3" s="11" t="s">
        <v>189</v>
      </c>
      <c r="B3" s="12"/>
      <c r="C3" s="12"/>
      <c r="D3" s="12"/>
      <c r="E3" s="12"/>
      <c r="F3" s="12"/>
      <c r="G3" s="12"/>
      <c r="H3" s="12"/>
      <c r="I3" s="12"/>
      <c r="J3" s="12"/>
    </row>
    <row r="5" spans="1:10" ht="19.95" customHeight="1" x14ac:dyDescent="0.3">
      <c r="A5" s="24" t="s">
        <v>2</v>
      </c>
      <c r="B5" s="24" t="s">
        <v>190</v>
      </c>
      <c r="C5" s="24" t="s">
        <v>191</v>
      </c>
      <c r="D5" s="24" t="s">
        <v>192</v>
      </c>
      <c r="E5" s="24" t="s">
        <v>193</v>
      </c>
      <c r="F5" s="24" t="s">
        <v>7</v>
      </c>
    </row>
    <row r="6" spans="1:10" x14ac:dyDescent="0.3">
      <c r="A6" s="2">
        <v>1</v>
      </c>
      <c r="B6" s="2" t="s">
        <v>12</v>
      </c>
      <c r="C6" s="3" t="s">
        <v>13</v>
      </c>
      <c r="D6" s="3"/>
      <c r="E6" s="3"/>
      <c r="F6" s="2" t="s">
        <v>16</v>
      </c>
    </row>
    <row r="7" spans="1:10" x14ac:dyDescent="0.3">
      <c r="A7" s="4">
        <v>2</v>
      </c>
      <c r="B7" s="4" t="s">
        <v>20</v>
      </c>
      <c r="C7" s="5" t="s">
        <v>21</v>
      </c>
      <c r="D7" s="5"/>
      <c r="E7" s="5"/>
      <c r="F7" s="4" t="s">
        <v>16</v>
      </c>
    </row>
    <row r="8" spans="1:10" x14ac:dyDescent="0.3">
      <c r="A8" s="2">
        <v>3</v>
      </c>
      <c r="B8" s="2"/>
      <c r="C8" s="3" t="s">
        <v>27</v>
      </c>
      <c r="D8" s="3"/>
      <c r="E8" s="3"/>
      <c r="F8" s="2" t="s">
        <v>16</v>
      </c>
    </row>
    <row r="9" spans="1:10" x14ac:dyDescent="0.3">
      <c r="A9" s="4">
        <v>4</v>
      </c>
      <c r="B9" s="4"/>
      <c r="C9" s="5" t="s">
        <v>32</v>
      </c>
      <c r="D9" s="5"/>
      <c r="E9" s="5"/>
      <c r="F9" s="4" t="s">
        <v>16</v>
      </c>
    </row>
    <row r="10" spans="1:10" x14ac:dyDescent="0.3">
      <c r="A10" s="2">
        <v>5</v>
      </c>
      <c r="B10" s="2"/>
      <c r="C10" s="3" t="s">
        <v>37</v>
      </c>
      <c r="D10" s="3"/>
      <c r="E10" s="3"/>
      <c r="F10" s="2" t="s">
        <v>16</v>
      </c>
    </row>
    <row r="11" spans="1:10" x14ac:dyDescent="0.3">
      <c r="A11" s="4">
        <v>6</v>
      </c>
      <c r="B11" s="4"/>
      <c r="C11" s="5" t="s">
        <v>42</v>
      </c>
      <c r="D11" s="5"/>
      <c r="E11" s="5"/>
      <c r="F11" s="4" t="s">
        <v>16</v>
      </c>
    </row>
    <row r="12" spans="1:10" x14ac:dyDescent="0.3">
      <c r="A12" s="2">
        <v>7</v>
      </c>
      <c r="B12" s="2"/>
      <c r="C12" s="3" t="s">
        <v>46</v>
      </c>
      <c r="D12" s="3"/>
      <c r="E12" s="3"/>
      <c r="F12" s="2" t="s">
        <v>16</v>
      </c>
    </row>
    <row r="13" spans="1:10" x14ac:dyDescent="0.3">
      <c r="A13" s="4">
        <v>8</v>
      </c>
      <c r="B13" s="4"/>
      <c r="C13" s="5" t="s">
        <v>50</v>
      </c>
      <c r="D13" s="5"/>
      <c r="E13" s="5"/>
      <c r="F13" s="4" t="s">
        <v>16</v>
      </c>
    </row>
    <row r="14" spans="1:10" x14ac:dyDescent="0.3">
      <c r="A14" s="2">
        <v>9</v>
      </c>
      <c r="B14" s="2"/>
      <c r="C14" s="3" t="s">
        <v>54</v>
      </c>
      <c r="D14" s="3"/>
      <c r="E14" s="3"/>
      <c r="F14" s="2" t="s">
        <v>16</v>
      </c>
    </row>
    <row r="15" spans="1:10" x14ac:dyDescent="0.3">
      <c r="A15" s="4">
        <v>10</v>
      </c>
      <c r="B15" s="4"/>
      <c r="C15" s="5" t="s">
        <v>58</v>
      </c>
      <c r="D15" s="5"/>
      <c r="E15" s="5"/>
      <c r="F15" s="4" t="s">
        <v>16</v>
      </c>
    </row>
    <row r="16" spans="1:10" x14ac:dyDescent="0.3">
      <c r="A16" s="2">
        <v>11</v>
      </c>
      <c r="B16" s="2"/>
      <c r="C16" s="3" t="s">
        <v>62</v>
      </c>
      <c r="D16" s="3"/>
      <c r="E16" s="3"/>
      <c r="F16" s="2" t="s">
        <v>16</v>
      </c>
    </row>
    <row r="17" spans="1:6" x14ac:dyDescent="0.3">
      <c r="A17" s="4">
        <v>12</v>
      </c>
      <c r="B17" s="4"/>
      <c r="C17" s="5" t="s">
        <v>66</v>
      </c>
      <c r="D17" s="5"/>
      <c r="E17" s="5"/>
      <c r="F17" s="4" t="s">
        <v>16</v>
      </c>
    </row>
    <row r="18" spans="1:6" x14ac:dyDescent="0.3">
      <c r="A18" s="2">
        <v>13</v>
      </c>
      <c r="B18" s="2"/>
      <c r="C18" s="3" t="s">
        <v>70</v>
      </c>
      <c r="D18" s="3"/>
      <c r="E18" s="3"/>
      <c r="F18" s="2" t="s">
        <v>16</v>
      </c>
    </row>
    <row r="19" spans="1:6" x14ac:dyDescent="0.3">
      <c r="A19" s="4">
        <v>14</v>
      </c>
      <c r="B19" s="4"/>
      <c r="C19" s="5" t="s">
        <v>73</v>
      </c>
      <c r="D19" s="5"/>
      <c r="E19" s="5"/>
      <c r="F19" s="4" t="s">
        <v>16</v>
      </c>
    </row>
    <row r="20" spans="1:6" x14ac:dyDescent="0.3">
      <c r="A20" s="2">
        <v>15</v>
      </c>
      <c r="B20" s="2"/>
      <c r="C20" s="3" t="s">
        <v>76</v>
      </c>
      <c r="D20" s="3"/>
      <c r="E20" s="3"/>
      <c r="F20" s="2" t="s">
        <v>16</v>
      </c>
    </row>
    <row r="21" spans="1:6" x14ac:dyDescent="0.3">
      <c r="A21" s="4">
        <v>16</v>
      </c>
      <c r="B21" s="4"/>
      <c r="C21" s="5" t="s">
        <v>79</v>
      </c>
      <c r="D21" s="5"/>
      <c r="E21" s="5"/>
      <c r="F21" s="4" t="s">
        <v>16</v>
      </c>
    </row>
    <row r="22" spans="1:6" x14ac:dyDescent="0.3">
      <c r="A22" s="2">
        <v>17</v>
      </c>
      <c r="B22" s="2"/>
      <c r="C22" s="3" t="s">
        <v>82</v>
      </c>
      <c r="D22" s="3"/>
      <c r="E22" s="3"/>
      <c r="F22" s="2" t="s">
        <v>16</v>
      </c>
    </row>
    <row r="23" spans="1:6" x14ac:dyDescent="0.3">
      <c r="A23" s="4">
        <v>18</v>
      </c>
      <c r="B23" s="4"/>
      <c r="C23" s="5" t="s">
        <v>85</v>
      </c>
      <c r="D23" s="5"/>
      <c r="E23" s="5"/>
      <c r="F23" s="4" t="s">
        <v>16</v>
      </c>
    </row>
    <row r="24" spans="1:6" x14ac:dyDescent="0.3">
      <c r="A24" s="2">
        <v>19</v>
      </c>
      <c r="B24" s="2"/>
      <c r="C24" s="3" t="s">
        <v>88</v>
      </c>
      <c r="D24" s="3"/>
      <c r="E24" s="3"/>
      <c r="F24" s="2" t="s">
        <v>16</v>
      </c>
    </row>
    <row r="25" spans="1:6" x14ac:dyDescent="0.3">
      <c r="A25" s="4">
        <v>20</v>
      </c>
      <c r="B25" s="4"/>
      <c r="C25" s="5" t="s">
        <v>91</v>
      </c>
      <c r="D25" s="5"/>
      <c r="E25" s="5"/>
      <c r="F25" s="4" t="s">
        <v>16</v>
      </c>
    </row>
    <row r="26" spans="1:6" x14ac:dyDescent="0.3">
      <c r="A26" s="2">
        <v>21</v>
      </c>
      <c r="B26" s="2"/>
      <c r="C26" s="3" t="s">
        <v>94</v>
      </c>
      <c r="D26" s="3"/>
      <c r="E26" s="3"/>
      <c r="F26" s="2" t="s">
        <v>16</v>
      </c>
    </row>
    <row r="27" spans="1:6" x14ac:dyDescent="0.3">
      <c r="A27" s="4">
        <v>22</v>
      </c>
      <c r="B27" s="4"/>
      <c r="C27" s="5" t="s">
        <v>97</v>
      </c>
      <c r="D27" s="5"/>
      <c r="E27" s="5"/>
      <c r="F27" s="4" t="s">
        <v>16</v>
      </c>
    </row>
    <row r="28" spans="1:6" x14ac:dyDescent="0.3">
      <c r="A28" s="2">
        <v>23</v>
      </c>
      <c r="B28" s="2"/>
      <c r="C28" s="3" t="s">
        <v>100</v>
      </c>
      <c r="D28" s="3"/>
      <c r="E28" s="3"/>
      <c r="F28" s="2" t="s">
        <v>16</v>
      </c>
    </row>
    <row r="29" spans="1:6" x14ac:dyDescent="0.3">
      <c r="A29" s="4">
        <v>24</v>
      </c>
      <c r="B29" s="4"/>
      <c r="C29" s="5" t="s">
        <v>103</v>
      </c>
      <c r="D29" s="5"/>
      <c r="E29" s="5"/>
      <c r="F29" s="4" t="s">
        <v>16</v>
      </c>
    </row>
    <row r="30" spans="1:6" x14ac:dyDescent="0.3">
      <c r="A30" s="2">
        <v>25</v>
      </c>
      <c r="B30" s="2"/>
      <c r="C30" s="3" t="s">
        <v>106</v>
      </c>
      <c r="D30" s="3"/>
      <c r="E30" s="3"/>
      <c r="F30" s="2" t="s">
        <v>16</v>
      </c>
    </row>
    <row r="31" spans="1:6" x14ac:dyDescent="0.3">
      <c r="A31" s="4">
        <v>26</v>
      </c>
      <c r="B31" s="4"/>
      <c r="C31" s="5" t="s">
        <v>109</v>
      </c>
      <c r="D31" s="5"/>
      <c r="E31" s="5"/>
      <c r="F31" s="4" t="s">
        <v>16</v>
      </c>
    </row>
    <row r="32" spans="1:6" x14ac:dyDescent="0.3">
      <c r="A32" s="2">
        <v>27</v>
      </c>
      <c r="B32" s="2"/>
      <c r="C32" s="3" t="s">
        <v>112</v>
      </c>
      <c r="D32" s="3"/>
      <c r="E32" s="3"/>
      <c r="F32" s="2" t="s">
        <v>16</v>
      </c>
    </row>
    <row r="33" spans="1:6" x14ac:dyDescent="0.3">
      <c r="A33" s="4">
        <v>28</v>
      </c>
      <c r="B33" s="4"/>
      <c r="C33" s="5" t="s">
        <v>115</v>
      </c>
      <c r="D33" s="5"/>
      <c r="E33" s="5"/>
      <c r="F33" s="4" t="s">
        <v>16</v>
      </c>
    </row>
    <row r="34" spans="1:6" x14ac:dyDescent="0.3">
      <c r="A34" s="2">
        <v>29</v>
      </c>
      <c r="B34" s="2"/>
      <c r="C34" s="3" t="s">
        <v>118</v>
      </c>
      <c r="D34" s="3"/>
      <c r="E34" s="3"/>
      <c r="F34" s="2" t="s">
        <v>16</v>
      </c>
    </row>
    <row r="35" spans="1:6" x14ac:dyDescent="0.3">
      <c r="A35" s="4">
        <v>30</v>
      </c>
      <c r="B35" s="4"/>
      <c r="C35" s="5" t="s">
        <v>121</v>
      </c>
      <c r="D35" s="5"/>
      <c r="E35" s="5"/>
      <c r="F35" s="4" t="s">
        <v>16</v>
      </c>
    </row>
    <row r="36" spans="1:6" x14ac:dyDescent="0.3">
      <c r="A36" s="2">
        <v>31</v>
      </c>
      <c r="B36" s="2"/>
      <c r="C36" s="3" t="s">
        <v>124</v>
      </c>
      <c r="D36" s="3"/>
      <c r="E36" s="3"/>
      <c r="F36" s="2" t="s">
        <v>16</v>
      </c>
    </row>
    <row r="37" spans="1:6" x14ac:dyDescent="0.3">
      <c r="A37" s="4">
        <v>32</v>
      </c>
      <c r="B37" s="4"/>
      <c r="C37" s="5" t="s">
        <v>127</v>
      </c>
      <c r="D37" s="5"/>
      <c r="E37" s="5"/>
      <c r="F37" s="4" t="s">
        <v>16</v>
      </c>
    </row>
    <row r="38" spans="1:6" x14ac:dyDescent="0.3">
      <c r="A38" s="2">
        <v>33</v>
      </c>
      <c r="B38" s="2"/>
      <c r="C38" s="3" t="s">
        <v>130</v>
      </c>
      <c r="D38" s="3"/>
      <c r="E38" s="3"/>
      <c r="F38" s="2" t="s">
        <v>16</v>
      </c>
    </row>
    <row r="39" spans="1:6" x14ac:dyDescent="0.3">
      <c r="A39" s="4">
        <v>34</v>
      </c>
      <c r="B39" s="4"/>
      <c r="C39" s="5" t="s">
        <v>133</v>
      </c>
      <c r="D39" s="5"/>
      <c r="E39" s="5"/>
      <c r="F39" s="4" t="s">
        <v>16</v>
      </c>
    </row>
    <row r="40" spans="1:6" x14ac:dyDescent="0.3">
      <c r="A40" s="2">
        <v>35</v>
      </c>
      <c r="B40" s="2"/>
      <c r="C40" s="3" t="s">
        <v>136</v>
      </c>
      <c r="D40" s="3"/>
      <c r="E40" s="3"/>
      <c r="F40" s="2" t="s">
        <v>16</v>
      </c>
    </row>
    <row r="41" spans="1:6" x14ac:dyDescent="0.3">
      <c r="A41" s="4">
        <v>36</v>
      </c>
      <c r="B41" s="4"/>
      <c r="C41" s="5" t="s">
        <v>139</v>
      </c>
      <c r="D41" s="5"/>
      <c r="E41" s="5"/>
      <c r="F41" s="4" t="s">
        <v>16</v>
      </c>
    </row>
    <row r="42" spans="1:6" x14ac:dyDescent="0.3">
      <c r="A42" s="2">
        <v>37</v>
      </c>
      <c r="B42" s="2"/>
      <c r="C42" s="3" t="s">
        <v>142</v>
      </c>
      <c r="D42" s="3"/>
      <c r="E42" s="3"/>
      <c r="F42" s="2" t="s">
        <v>16</v>
      </c>
    </row>
    <row r="43" spans="1:6" x14ac:dyDescent="0.3">
      <c r="A43" s="4">
        <v>38</v>
      </c>
      <c r="B43" s="4"/>
      <c r="C43" s="5" t="s">
        <v>145</v>
      </c>
      <c r="D43" s="5"/>
      <c r="E43" s="5"/>
      <c r="F43" s="4" t="s">
        <v>16</v>
      </c>
    </row>
    <row r="44" spans="1:6" x14ac:dyDescent="0.3">
      <c r="A44" s="2">
        <v>39</v>
      </c>
      <c r="B44" s="2"/>
      <c r="C44" s="3" t="s">
        <v>148</v>
      </c>
      <c r="D44" s="3"/>
      <c r="E44" s="3"/>
      <c r="F44" s="2" t="s">
        <v>16</v>
      </c>
    </row>
    <row r="45" spans="1:6" x14ac:dyDescent="0.3">
      <c r="A45" s="4">
        <v>40</v>
      </c>
      <c r="B45" s="4"/>
      <c r="C45" s="5" t="s">
        <v>151</v>
      </c>
      <c r="D45" s="5"/>
      <c r="E45" s="5"/>
      <c r="F45" s="4" t="s">
        <v>16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"/>
  <sheetViews>
    <sheetView tabSelected="1" workbookViewId="0">
      <selection activeCell="G16" sqref="G16"/>
    </sheetView>
  </sheetViews>
  <sheetFormatPr defaultRowHeight="14.4" x14ac:dyDescent="0.3"/>
  <cols>
    <col min="1" max="1" width="5" customWidth="1"/>
    <col min="2" max="2" width="13" customWidth="1"/>
    <col min="3" max="3" width="21.44140625" customWidth="1"/>
    <col min="4" max="11" width="10" customWidth="1"/>
    <col min="12" max="12" width="8" customWidth="1"/>
  </cols>
  <sheetData>
    <row r="1" spans="1:12" ht="25.95" customHeight="1" x14ac:dyDescent="0.3">
      <c r="A1" s="14" t="s">
        <v>194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3.95" customHeight="1" x14ac:dyDescent="0.3">
      <c r="A2" s="13" t="s">
        <v>332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6.05" customHeight="1" x14ac:dyDescent="0.3">
      <c r="A3" s="11" t="s">
        <v>195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22.05" customHeight="1" x14ac:dyDescent="0.3">
      <c r="A4" s="15" t="s">
        <v>196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19.95" customHeight="1" x14ac:dyDescent="0.3">
      <c r="A5" s="1" t="s">
        <v>2</v>
      </c>
      <c r="B5" s="1" t="s">
        <v>3</v>
      </c>
      <c r="C5" s="1" t="s">
        <v>161</v>
      </c>
      <c r="D5" s="1" t="s">
        <v>197</v>
      </c>
      <c r="E5" s="1" t="s">
        <v>198</v>
      </c>
      <c r="F5" s="1" t="s">
        <v>199</v>
      </c>
      <c r="G5" s="1" t="s">
        <v>200</v>
      </c>
      <c r="H5" s="1" t="s">
        <v>201</v>
      </c>
      <c r="I5" s="1" t="s">
        <v>202</v>
      </c>
      <c r="J5" s="1" t="s">
        <v>203</v>
      </c>
      <c r="K5" s="1" t="s">
        <v>204</v>
      </c>
      <c r="L5" s="1" t="s">
        <v>205</v>
      </c>
    </row>
    <row r="6" spans="1:12" x14ac:dyDescent="0.3">
      <c r="A6" s="3">
        <v>1</v>
      </c>
      <c r="B6" s="3" t="s">
        <v>12</v>
      </c>
      <c r="C6" s="3" t="s">
        <v>13</v>
      </c>
      <c r="D6" s="2">
        <v>80</v>
      </c>
      <c r="E6" s="2">
        <v>53</v>
      </c>
      <c r="F6" s="2">
        <v>82</v>
      </c>
      <c r="G6" s="2">
        <v>88</v>
      </c>
      <c r="H6" s="2">
        <v>85</v>
      </c>
      <c r="I6" s="2">
        <v>50</v>
      </c>
      <c r="J6" s="2">
        <f t="shared" ref="J6:J45" si="0">SUM(D6:I6)</f>
        <v>438</v>
      </c>
      <c r="K6" s="9">
        <f t="shared" ref="K6:K45" si="1">AVERAGE(D6:I6)</f>
        <v>73</v>
      </c>
      <c r="L6" s="2" t="str">
        <f t="shared" ref="L6:L45" si="2">IF(K6&gt;=80,"A",IF(K6&gt;=70,"B",IF(K6&gt;=60,"C",IF(K6&gt;=50,"D","F"))))</f>
        <v>B</v>
      </c>
    </row>
    <row r="7" spans="1:12" x14ac:dyDescent="0.3">
      <c r="A7" s="5">
        <v>2</v>
      </c>
      <c r="B7" s="5" t="s">
        <v>20</v>
      </c>
      <c r="C7" s="5" t="s">
        <v>21</v>
      </c>
      <c r="D7" s="4">
        <v>47</v>
      </c>
      <c r="E7" s="4">
        <v>84</v>
      </c>
      <c r="F7" s="4">
        <v>80</v>
      </c>
      <c r="G7" s="4">
        <v>80</v>
      </c>
      <c r="H7" s="4">
        <v>43</v>
      </c>
      <c r="I7" s="4">
        <v>82</v>
      </c>
      <c r="J7" s="4">
        <f t="shared" si="0"/>
        <v>416</v>
      </c>
      <c r="K7" s="10">
        <f t="shared" si="1"/>
        <v>69.333333333333329</v>
      </c>
      <c r="L7" s="4" t="str">
        <f t="shared" si="2"/>
        <v>C</v>
      </c>
    </row>
    <row r="8" spans="1:12" x14ac:dyDescent="0.3">
      <c r="A8" s="3">
        <v>3</v>
      </c>
      <c r="B8" s="3" t="s">
        <v>26</v>
      </c>
      <c r="C8" s="3" t="s">
        <v>27</v>
      </c>
      <c r="D8" s="2">
        <v>76</v>
      </c>
      <c r="E8" s="2">
        <v>59</v>
      </c>
      <c r="F8" s="2">
        <v>78</v>
      </c>
      <c r="G8" s="2">
        <v>47</v>
      </c>
      <c r="H8" s="2">
        <v>53</v>
      </c>
      <c r="I8" s="2">
        <v>70</v>
      </c>
      <c r="J8" s="2">
        <f t="shared" si="0"/>
        <v>383</v>
      </c>
      <c r="K8" s="9">
        <f t="shared" si="1"/>
        <v>63.833333333333336</v>
      </c>
      <c r="L8" s="2" t="str">
        <f t="shared" si="2"/>
        <v>C</v>
      </c>
    </row>
    <row r="9" spans="1:12" x14ac:dyDescent="0.3">
      <c r="A9" s="5">
        <v>4</v>
      </c>
      <c r="B9" s="5" t="s">
        <v>31</v>
      </c>
      <c r="C9" s="5" t="s">
        <v>32</v>
      </c>
      <c r="D9" s="4">
        <v>77</v>
      </c>
      <c r="E9" s="4">
        <v>50</v>
      </c>
      <c r="F9" s="4">
        <v>57</v>
      </c>
      <c r="G9" s="4">
        <v>78</v>
      </c>
      <c r="H9" s="4">
        <v>65</v>
      </c>
      <c r="I9" s="4">
        <v>66</v>
      </c>
      <c r="J9" s="4">
        <f t="shared" si="0"/>
        <v>393</v>
      </c>
      <c r="K9" s="10">
        <f t="shared" si="1"/>
        <v>65.5</v>
      </c>
      <c r="L9" s="4" t="str">
        <f t="shared" si="2"/>
        <v>C</v>
      </c>
    </row>
    <row r="10" spans="1:12" x14ac:dyDescent="0.3">
      <c r="A10" s="3">
        <v>5</v>
      </c>
      <c r="B10" s="3" t="s">
        <v>36</v>
      </c>
      <c r="C10" s="3" t="s">
        <v>37</v>
      </c>
      <c r="D10" s="2">
        <v>79</v>
      </c>
      <c r="E10" s="2">
        <v>74</v>
      </c>
      <c r="F10" s="2">
        <v>58</v>
      </c>
      <c r="G10" s="2">
        <v>67</v>
      </c>
      <c r="H10" s="2">
        <v>71</v>
      </c>
      <c r="I10" s="2">
        <v>49</v>
      </c>
      <c r="J10" s="2">
        <f t="shared" si="0"/>
        <v>398</v>
      </c>
      <c r="K10" s="9">
        <f t="shared" si="1"/>
        <v>66.333333333333329</v>
      </c>
      <c r="L10" s="2" t="str">
        <f t="shared" si="2"/>
        <v>C</v>
      </c>
    </row>
    <row r="11" spans="1:12" x14ac:dyDescent="0.3">
      <c r="A11" s="5">
        <v>6</v>
      </c>
      <c r="B11" s="5" t="s">
        <v>41</v>
      </c>
      <c r="C11" s="5" t="s">
        <v>42</v>
      </c>
      <c r="D11" s="4">
        <v>90</v>
      </c>
      <c r="E11" s="4">
        <v>80</v>
      </c>
      <c r="F11" s="4">
        <v>60</v>
      </c>
      <c r="G11" s="4">
        <v>79</v>
      </c>
      <c r="H11" s="4">
        <v>79</v>
      </c>
      <c r="I11" s="4">
        <v>69</v>
      </c>
      <c r="J11" s="4">
        <f t="shared" si="0"/>
        <v>457</v>
      </c>
      <c r="K11" s="10">
        <f t="shared" si="1"/>
        <v>76.166666666666671</v>
      </c>
      <c r="L11" s="4" t="str">
        <f t="shared" si="2"/>
        <v>B</v>
      </c>
    </row>
    <row r="12" spans="1:12" x14ac:dyDescent="0.3">
      <c r="A12" s="3">
        <v>7</v>
      </c>
      <c r="B12" s="3" t="s">
        <v>45</v>
      </c>
      <c r="C12" s="3" t="s">
        <v>46</v>
      </c>
      <c r="D12" s="2">
        <v>67</v>
      </c>
      <c r="E12" s="2">
        <v>67</v>
      </c>
      <c r="F12" s="2">
        <v>53</v>
      </c>
      <c r="G12" s="2">
        <v>51</v>
      </c>
      <c r="H12" s="2">
        <v>53</v>
      </c>
      <c r="I12" s="2">
        <v>49</v>
      </c>
      <c r="J12" s="2">
        <f t="shared" si="0"/>
        <v>340</v>
      </c>
      <c r="K12" s="9">
        <f t="shared" si="1"/>
        <v>56.666666666666664</v>
      </c>
      <c r="L12" s="2" t="str">
        <f t="shared" si="2"/>
        <v>D</v>
      </c>
    </row>
    <row r="13" spans="1:12" x14ac:dyDescent="0.3">
      <c r="A13" s="5">
        <v>8</v>
      </c>
      <c r="B13" s="5" t="s">
        <v>49</v>
      </c>
      <c r="C13" s="5" t="s">
        <v>50</v>
      </c>
      <c r="D13" s="4">
        <v>68</v>
      </c>
      <c r="E13" s="4">
        <v>65</v>
      </c>
      <c r="F13" s="4">
        <v>55</v>
      </c>
      <c r="G13" s="4">
        <v>82</v>
      </c>
      <c r="H13" s="4">
        <v>44</v>
      </c>
      <c r="I13" s="4">
        <v>46</v>
      </c>
      <c r="J13" s="4">
        <f t="shared" si="0"/>
        <v>360</v>
      </c>
      <c r="K13" s="10">
        <f t="shared" si="1"/>
        <v>60</v>
      </c>
      <c r="L13" s="4" t="str">
        <f t="shared" si="2"/>
        <v>C</v>
      </c>
    </row>
    <row r="14" spans="1:12" x14ac:dyDescent="0.3">
      <c r="A14" s="3">
        <v>9</v>
      </c>
      <c r="B14" s="3" t="s">
        <v>53</v>
      </c>
      <c r="C14" s="3" t="s">
        <v>54</v>
      </c>
      <c r="D14" s="2">
        <v>67</v>
      </c>
      <c r="E14" s="2">
        <v>71</v>
      </c>
      <c r="F14" s="2">
        <v>90</v>
      </c>
      <c r="G14" s="2">
        <v>67</v>
      </c>
      <c r="H14" s="2">
        <v>79</v>
      </c>
      <c r="I14" s="2">
        <v>77</v>
      </c>
      <c r="J14" s="2">
        <f t="shared" si="0"/>
        <v>451</v>
      </c>
      <c r="K14" s="9">
        <f t="shared" si="1"/>
        <v>75.166666666666671</v>
      </c>
      <c r="L14" s="2" t="str">
        <f t="shared" si="2"/>
        <v>B</v>
      </c>
    </row>
    <row r="15" spans="1:12" x14ac:dyDescent="0.3">
      <c r="A15" s="5">
        <v>10</v>
      </c>
      <c r="B15" s="5" t="s">
        <v>57</v>
      </c>
      <c r="C15" s="5" t="s">
        <v>58</v>
      </c>
      <c r="D15" s="4">
        <v>74</v>
      </c>
      <c r="E15" s="4">
        <v>66</v>
      </c>
      <c r="F15" s="4">
        <v>70</v>
      </c>
      <c r="G15" s="4">
        <v>60</v>
      </c>
      <c r="H15" s="4">
        <v>75</v>
      </c>
      <c r="I15" s="4">
        <v>69</v>
      </c>
      <c r="J15" s="4">
        <f t="shared" si="0"/>
        <v>414</v>
      </c>
      <c r="K15" s="10">
        <f t="shared" si="1"/>
        <v>69</v>
      </c>
      <c r="L15" s="4" t="str">
        <f t="shared" si="2"/>
        <v>C</v>
      </c>
    </row>
    <row r="16" spans="1:12" x14ac:dyDescent="0.3">
      <c r="A16" s="3">
        <v>11</v>
      </c>
      <c r="B16" s="3" t="s">
        <v>61</v>
      </c>
      <c r="C16" s="3" t="s">
        <v>62</v>
      </c>
      <c r="D16" s="2">
        <v>57</v>
      </c>
      <c r="E16" s="2">
        <v>46</v>
      </c>
      <c r="F16" s="2">
        <v>82</v>
      </c>
      <c r="G16" s="2">
        <v>82</v>
      </c>
      <c r="H16" s="2">
        <v>91</v>
      </c>
      <c r="I16" s="2">
        <v>62</v>
      </c>
      <c r="J16" s="2">
        <f t="shared" si="0"/>
        <v>420</v>
      </c>
      <c r="K16" s="9">
        <f t="shared" si="1"/>
        <v>70</v>
      </c>
      <c r="L16" s="2" t="str">
        <f t="shared" si="2"/>
        <v>B</v>
      </c>
    </row>
    <row r="17" spans="1:12" x14ac:dyDescent="0.3">
      <c r="A17" s="5">
        <v>12</v>
      </c>
      <c r="B17" s="5" t="s">
        <v>65</v>
      </c>
      <c r="C17" s="5" t="s">
        <v>66</v>
      </c>
      <c r="D17" s="4">
        <v>77</v>
      </c>
      <c r="E17" s="4">
        <v>79</v>
      </c>
      <c r="F17" s="4">
        <v>70</v>
      </c>
      <c r="G17" s="4">
        <v>48</v>
      </c>
      <c r="H17" s="4">
        <v>40</v>
      </c>
      <c r="I17" s="4">
        <v>55</v>
      </c>
      <c r="J17" s="4">
        <f t="shared" si="0"/>
        <v>369</v>
      </c>
      <c r="K17" s="10">
        <f t="shared" si="1"/>
        <v>61.5</v>
      </c>
      <c r="L17" s="4" t="str">
        <f t="shared" si="2"/>
        <v>C</v>
      </c>
    </row>
    <row r="18" spans="1:12" x14ac:dyDescent="0.3">
      <c r="A18" s="3">
        <v>13</v>
      </c>
      <c r="B18" s="3" t="s">
        <v>69</v>
      </c>
      <c r="C18" s="3" t="s">
        <v>70</v>
      </c>
      <c r="D18" s="2">
        <v>83</v>
      </c>
      <c r="E18" s="2">
        <v>77</v>
      </c>
      <c r="F18" s="2">
        <v>49</v>
      </c>
      <c r="G18" s="2">
        <v>45</v>
      </c>
      <c r="H18" s="2">
        <v>68</v>
      </c>
      <c r="I18" s="2">
        <v>53</v>
      </c>
      <c r="J18" s="2">
        <f t="shared" si="0"/>
        <v>375</v>
      </c>
      <c r="K18" s="9">
        <f t="shared" si="1"/>
        <v>62.5</v>
      </c>
      <c r="L18" s="2" t="str">
        <f t="shared" si="2"/>
        <v>C</v>
      </c>
    </row>
    <row r="19" spans="1:12" x14ac:dyDescent="0.3">
      <c r="A19" s="5">
        <v>14</v>
      </c>
      <c r="B19" s="5" t="s">
        <v>72</v>
      </c>
      <c r="C19" s="5" t="s">
        <v>73</v>
      </c>
      <c r="D19" s="4">
        <v>63</v>
      </c>
      <c r="E19" s="4">
        <v>70</v>
      </c>
      <c r="F19" s="4">
        <v>64</v>
      </c>
      <c r="G19" s="4">
        <v>89</v>
      </c>
      <c r="H19" s="4">
        <v>92</v>
      </c>
      <c r="I19" s="4">
        <v>60</v>
      </c>
      <c r="J19" s="4">
        <f t="shared" si="0"/>
        <v>438</v>
      </c>
      <c r="K19" s="10">
        <f t="shared" si="1"/>
        <v>73</v>
      </c>
      <c r="L19" s="4" t="str">
        <f t="shared" si="2"/>
        <v>B</v>
      </c>
    </row>
    <row r="20" spans="1:12" x14ac:dyDescent="0.3">
      <c r="A20" s="3">
        <v>15</v>
      </c>
      <c r="B20" s="3" t="s">
        <v>75</v>
      </c>
      <c r="C20" s="3" t="s">
        <v>76</v>
      </c>
      <c r="D20" s="2">
        <v>57</v>
      </c>
      <c r="E20" s="2">
        <v>69</v>
      </c>
      <c r="F20" s="2">
        <v>59</v>
      </c>
      <c r="G20" s="2">
        <v>69</v>
      </c>
      <c r="H20" s="2">
        <v>47</v>
      </c>
      <c r="I20" s="2">
        <v>89</v>
      </c>
      <c r="J20" s="2">
        <f t="shared" si="0"/>
        <v>390</v>
      </c>
      <c r="K20" s="9">
        <f t="shared" si="1"/>
        <v>65</v>
      </c>
      <c r="L20" s="2" t="str">
        <f t="shared" si="2"/>
        <v>C</v>
      </c>
    </row>
    <row r="21" spans="1:12" x14ac:dyDescent="0.3">
      <c r="A21" s="5">
        <v>16</v>
      </c>
      <c r="B21" s="5" t="s">
        <v>78</v>
      </c>
      <c r="C21" s="5" t="s">
        <v>79</v>
      </c>
      <c r="D21" s="4">
        <v>62</v>
      </c>
      <c r="E21" s="4">
        <v>60</v>
      </c>
      <c r="F21" s="4">
        <v>62</v>
      </c>
      <c r="G21" s="4">
        <v>75</v>
      </c>
      <c r="H21" s="4">
        <v>58</v>
      </c>
      <c r="I21" s="4">
        <v>73</v>
      </c>
      <c r="J21" s="4">
        <f t="shared" si="0"/>
        <v>390</v>
      </c>
      <c r="K21" s="10">
        <f t="shared" si="1"/>
        <v>65</v>
      </c>
      <c r="L21" s="4" t="str">
        <f t="shared" si="2"/>
        <v>C</v>
      </c>
    </row>
    <row r="22" spans="1:12" x14ac:dyDescent="0.3">
      <c r="A22" s="3">
        <v>17</v>
      </c>
      <c r="B22" s="3" t="s">
        <v>81</v>
      </c>
      <c r="C22" s="3" t="s">
        <v>82</v>
      </c>
      <c r="D22" s="2">
        <v>54</v>
      </c>
      <c r="E22" s="2">
        <v>69</v>
      </c>
      <c r="F22" s="2">
        <v>49</v>
      </c>
      <c r="G22" s="2">
        <v>43</v>
      </c>
      <c r="H22" s="2">
        <v>59</v>
      </c>
      <c r="I22" s="2">
        <v>76</v>
      </c>
      <c r="J22" s="2">
        <f t="shared" si="0"/>
        <v>350</v>
      </c>
      <c r="K22" s="9">
        <f t="shared" si="1"/>
        <v>58.333333333333336</v>
      </c>
      <c r="L22" s="2" t="str">
        <f t="shared" si="2"/>
        <v>D</v>
      </c>
    </row>
    <row r="23" spans="1:12" x14ac:dyDescent="0.3">
      <c r="A23" s="5">
        <v>18</v>
      </c>
      <c r="B23" s="5" t="s">
        <v>84</v>
      </c>
      <c r="C23" s="5" t="s">
        <v>85</v>
      </c>
      <c r="D23" s="4">
        <v>71</v>
      </c>
      <c r="E23" s="4">
        <v>80</v>
      </c>
      <c r="F23" s="4">
        <v>77</v>
      </c>
      <c r="G23" s="4">
        <v>89</v>
      </c>
      <c r="H23" s="4">
        <v>81</v>
      </c>
      <c r="I23" s="4">
        <v>74</v>
      </c>
      <c r="J23" s="4">
        <f t="shared" si="0"/>
        <v>472</v>
      </c>
      <c r="K23" s="10">
        <f t="shared" si="1"/>
        <v>78.666666666666671</v>
      </c>
      <c r="L23" s="4" t="str">
        <f t="shared" si="2"/>
        <v>B</v>
      </c>
    </row>
    <row r="24" spans="1:12" x14ac:dyDescent="0.3">
      <c r="A24" s="3">
        <v>19</v>
      </c>
      <c r="B24" s="3" t="s">
        <v>87</v>
      </c>
      <c r="C24" s="3" t="s">
        <v>88</v>
      </c>
      <c r="D24" s="2">
        <v>95</v>
      </c>
      <c r="E24" s="2">
        <v>92</v>
      </c>
      <c r="F24" s="2">
        <v>49</v>
      </c>
      <c r="G24" s="2">
        <v>54</v>
      </c>
      <c r="H24" s="2">
        <v>80</v>
      </c>
      <c r="I24" s="2">
        <v>53</v>
      </c>
      <c r="J24" s="2">
        <f t="shared" si="0"/>
        <v>423</v>
      </c>
      <c r="K24" s="9">
        <f t="shared" si="1"/>
        <v>70.5</v>
      </c>
      <c r="L24" s="2" t="str">
        <f t="shared" si="2"/>
        <v>B</v>
      </c>
    </row>
    <row r="25" spans="1:12" x14ac:dyDescent="0.3">
      <c r="A25" s="5">
        <v>20</v>
      </c>
      <c r="B25" s="5" t="s">
        <v>90</v>
      </c>
      <c r="C25" s="5" t="s">
        <v>91</v>
      </c>
      <c r="D25" s="4">
        <v>58</v>
      </c>
      <c r="E25" s="4">
        <v>65</v>
      </c>
      <c r="F25" s="4">
        <v>79</v>
      </c>
      <c r="G25" s="4">
        <v>66</v>
      </c>
      <c r="H25" s="4">
        <v>65</v>
      </c>
      <c r="I25" s="4">
        <v>87</v>
      </c>
      <c r="J25" s="4">
        <f t="shared" si="0"/>
        <v>420</v>
      </c>
      <c r="K25" s="10">
        <f t="shared" si="1"/>
        <v>70</v>
      </c>
      <c r="L25" s="4" t="str">
        <f t="shared" si="2"/>
        <v>B</v>
      </c>
    </row>
    <row r="26" spans="1:12" x14ac:dyDescent="0.3">
      <c r="A26" s="3">
        <v>21</v>
      </c>
      <c r="B26" s="3" t="s">
        <v>93</v>
      </c>
      <c r="C26" s="3" t="s">
        <v>94</v>
      </c>
      <c r="D26" s="2">
        <v>75</v>
      </c>
      <c r="E26" s="2">
        <v>59</v>
      </c>
      <c r="F26" s="2">
        <v>72</v>
      </c>
      <c r="G26" s="2">
        <v>82</v>
      </c>
      <c r="H26" s="2">
        <v>94</v>
      </c>
      <c r="I26" s="2">
        <v>53</v>
      </c>
      <c r="J26" s="2">
        <f t="shared" si="0"/>
        <v>435</v>
      </c>
      <c r="K26" s="9">
        <f t="shared" si="1"/>
        <v>72.5</v>
      </c>
      <c r="L26" s="2" t="str">
        <f t="shared" si="2"/>
        <v>B</v>
      </c>
    </row>
    <row r="27" spans="1:12" x14ac:dyDescent="0.3">
      <c r="A27" s="5">
        <v>22</v>
      </c>
      <c r="B27" s="5" t="s">
        <v>96</v>
      </c>
      <c r="C27" s="5" t="s">
        <v>97</v>
      </c>
      <c r="D27" s="4">
        <v>55</v>
      </c>
      <c r="E27" s="4">
        <v>49</v>
      </c>
      <c r="F27" s="4">
        <v>67</v>
      </c>
      <c r="G27" s="4">
        <v>88</v>
      </c>
      <c r="H27" s="4">
        <v>67</v>
      </c>
      <c r="I27" s="4">
        <v>69</v>
      </c>
      <c r="J27" s="4">
        <f t="shared" si="0"/>
        <v>395</v>
      </c>
      <c r="K27" s="10">
        <f t="shared" si="1"/>
        <v>65.833333333333329</v>
      </c>
      <c r="L27" s="4" t="str">
        <f t="shared" si="2"/>
        <v>C</v>
      </c>
    </row>
    <row r="28" spans="1:12" x14ac:dyDescent="0.3">
      <c r="A28" s="3">
        <v>23</v>
      </c>
      <c r="B28" s="3" t="s">
        <v>99</v>
      </c>
      <c r="C28" s="3" t="s">
        <v>100</v>
      </c>
      <c r="D28" s="2">
        <v>72</v>
      </c>
      <c r="E28" s="2">
        <v>59</v>
      </c>
      <c r="F28" s="2">
        <v>89</v>
      </c>
      <c r="G28" s="2">
        <v>78</v>
      </c>
      <c r="H28" s="2">
        <v>89</v>
      </c>
      <c r="I28" s="2">
        <v>68</v>
      </c>
      <c r="J28" s="2">
        <f t="shared" si="0"/>
        <v>455</v>
      </c>
      <c r="K28" s="9">
        <f t="shared" si="1"/>
        <v>75.833333333333329</v>
      </c>
      <c r="L28" s="2" t="str">
        <f t="shared" si="2"/>
        <v>B</v>
      </c>
    </row>
    <row r="29" spans="1:12" x14ac:dyDescent="0.3">
      <c r="A29" s="5">
        <v>24</v>
      </c>
      <c r="B29" s="5" t="s">
        <v>102</v>
      </c>
      <c r="C29" s="5" t="s">
        <v>103</v>
      </c>
      <c r="D29" s="4">
        <v>58</v>
      </c>
      <c r="E29" s="4">
        <v>55</v>
      </c>
      <c r="F29" s="4">
        <v>54</v>
      </c>
      <c r="G29" s="4">
        <v>68</v>
      </c>
      <c r="H29" s="4">
        <v>90</v>
      </c>
      <c r="I29" s="4">
        <v>61</v>
      </c>
      <c r="J29" s="4">
        <f t="shared" si="0"/>
        <v>386</v>
      </c>
      <c r="K29" s="10">
        <f t="shared" si="1"/>
        <v>64.333333333333329</v>
      </c>
      <c r="L29" s="4" t="str">
        <f t="shared" si="2"/>
        <v>C</v>
      </c>
    </row>
    <row r="30" spans="1:12" x14ac:dyDescent="0.3">
      <c r="A30" s="3">
        <v>25</v>
      </c>
      <c r="B30" s="3" t="s">
        <v>105</v>
      </c>
      <c r="C30" s="3" t="s">
        <v>106</v>
      </c>
      <c r="D30" s="2">
        <v>76</v>
      </c>
      <c r="E30" s="2">
        <v>78</v>
      </c>
      <c r="F30" s="2">
        <v>76</v>
      </c>
      <c r="G30" s="2">
        <v>61</v>
      </c>
      <c r="H30" s="2">
        <v>57</v>
      </c>
      <c r="I30" s="2">
        <v>54</v>
      </c>
      <c r="J30" s="2">
        <f t="shared" si="0"/>
        <v>402</v>
      </c>
      <c r="K30" s="9">
        <f t="shared" si="1"/>
        <v>67</v>
      </c>
      <c r="L30" s="2" t="str">
        <f t="shared" si="2"/>
        <v>C</v>
      </c>
    </row>
    <row r="31" spans="1:12" x14ac:dyDescent="0.3">
      <c r="A31" s="5">
        <v>26</v>
      </c>
      <c r="B31" s="5" t="s">
        <v>108</v>
      </c>
      <c r="C31" s="5" t="s">
        <v>109</v>
      </c>
      <c r="D31" s="4">
        <v>57</v>
      </c>
      <c r="E31" s="4">
        <v>74</v>
      </c>
      <c r="F31" s="4">
        <v>77</v>
      </c>
      <c r="G31" s="4">
        <v>68</v>
      </c>
      <c r="H31" s="4">
        <v>85</v>
      </c>
      <c r="I31" s="4">
        <v>81</v>
      </c>
      <c r="J31" s="4">
        <f t="shared" si="0"/>
        <v>442</v>
      </c>
      <c r="K31" s="10">
        <f t="shared" si="1"/>
        <v>73.666666666666671</v>
      </c>
      <c r="L31" s="4" t="str">
        <f t="shared" si="2"/>
        <v>B</v>
      </c>
    </row>
    <row r="32" spans="1:12" x14ac:dyDescent="0.3">
      <c r="A32" s="3">
        <v>27</v>
      </c>
      <c r="B32" s="3" t="s">
        <v>111</v>
      </c>
      <c r="C32" s="3" t="s">
        <v>112</v>
      </c>
      <c r="D32" s="2">
        <v>77</v>
      </c>
      <c r="E32" s="2">
        <v>59</v>
      </c>
      <c r="F32" s="2">
        <v>68</v>
      </c>
      <c r="G32" s="2">
        <v>68</v>
      </c>
      <c r="H32" s="2">
        <v>67</v>
      </c>
      <c r="I32" s="2">
        <v>87</v>
      </c>
      <c r="J32" s="2">
        <f t="shared" si="0"/>
        <v>426</v>
      </c>
      <c r="K32" s="9">
        <f t="shared" si="1"/>
        <v>71</v>
      </c>
      <c r="L32" s="2" t="str">
        <f t="shared" si="2"/>
        <v>B</v>
      </c>
    </row>
    <row r="33" spans="1:12" x14ac:dyDescent="0.3">
      <c r="A33" s="5">
        <v>28</v>
      </c>
      <c r="B33" s="5" t="s">
        <v>114</v>
      </c>
      <c r="C33" s="5" t="s">
        <v>115</v>
      </c>
      <c r="D33" s="4">
        <v>42</v>
      </c>
      <c r="E33" s="4">
        <v>72</v>
      </c>
      <c r="F33" s="4">
        <v>41</v>
      </c>
      <c r="G33" s="4">
        <v>59</v>
      </c>
      <c r="H33" s="4">
        <v>65</v>
      </c>
      <c r="I33" s="4">
        <v>52</v>
      </c>
      <c r="J33" s="4">
        <f t="shared" si="0"/>
        <v>331</v>
      </c>
      <c r="K33" s="10">
        <f t="shared" si="1"/>
        <v>55.166666666666664</v>
      </c>
      <c r="L33" s="4" t="str">
        <f t="shared" si="2"/>
        <v>D</v>
      </c>
    </row>
    <row r="34" spans="1:12" x14ac:dyDescent="0.3">
      <c r="A34" s="3">
        <v>29</v>
      </c>
      <c r="B34" s="3" t="s">
        <v>117</v>
      </c>
      <c r="C34" s="3" t="s">
        <v>118</v>
      </c>
      <c r="D34" s="2">
        <v>81</v>
      </c>
      <c r="E34" s="2">
        <v>71</v>
      </c>
      <c r="F34" s="2">
        <v>76</v>
      </c>
      <c r="G34" s="2">
        <v>68</v>
      </c>
      <c r="H34" s="2">
        <v>44</v>
      </c>
      <c r="I34" s="2">
        <v>41</v>
      </c>
      <c r="J34" s="2">
        <f t="shared" si="0"/>
        <v>381</v>
      </c>
      <c r="K34" s="9">
        <f t="shared" si="1"/>
        <v>63.5</v>
      </c>
      <c r="L34" s="2" t="str">
        <f t="shared" si="2"/>
        <v>C</v>
      </c>
    </row>
    <row r="35" spans="1:12" x14ac:dyDescent="0.3">
      <c r="A35" s="5">
        <v>30</v>
      </c>
      <c r="B35" s="5" t="s">
        <v>120</v>
      </c>
      <c r="C35" s="5" t="s">
        <v>121</v>
      </c>
      <c r="D35" s="4">
        <v>73</v>
      </c>
      <c r="E35" s="4">
        <v>58</v>
      </c>
      <c r="F35" s="4">
        <v>68</v>
      </c>
      <c r="G35" s="4">
        <v>59</v>
      </c>
      <c r="H35" s="4">
        <v>91</v>
      </c>
      <c r="I35" s="4">
        <v>83</v>
      </c>
      <c r="J35" s="4">
        <f t="shared" si="0"/>
        <v>432</v>
      </c>
      <c r="K35" s="10">
        <f t="shared" si="1"/>
        <v>72</v>
      </c>
      <c r="L35" s="4" t="str">
        <f t="shared" si="2"/>
        <v>B</v>
      </c>
    </row>
    <row r="36" spans="1:12" x14ac:dyDescent="0.3">
      <c r="A36" s="3">
        <v>31</v>
      </c>
      <c r="B36" s="3" t="s">
        <v>123</v>
      </c>
      <c r="C36" s="3" t="s">
        <v>124</v>
      </c>
      <c r="D36" s="2">
        <v>42</v>
      </c>
      <c r="E36" s="2">
        <v>69</v>
      </c>
      <c r="F36" s="2">
        <v>78</v>
      </c>
      <c r="G36" s="2">
        <v>86</v>
      </c>
      <c r="H36" s="2">
        <v>89</v>
      </c>
      <c r="I36" s="2">
        <v>54</v>
      </c>
      <c r="J36" s="2">
        <f t="shared" si="0"/>
        <v>418</v>
      </c>
      <c r="K36" s="9">
        <f t="shared" si="1"/>
        <v>69.666666666666671</v>
      </c>
      <c r="L36" s="2" t="str">
        <f t="shared" si="2"/>
        <v>C</v>
      </c>
    </row>
    <row r="37" spans="1:12" x14ac:dyDescent="0.3">
      <c r="A37" s="5">
        <v>32</v>
      </c>
      <c r="B37" s="5" t="s">
        <v>126</v>
      </c>
      <c r="C37" s="5" t="s">
        <v>127</v>
      </c>
      <c r="D37" s="4">
        <v>42</v>
      </c>
      <c r="E37" s="4">
        <v>93</v>
      </c>
      <c r="F37" s="4">
        <v>79</v>
      </c>
      <c r="G37" s="4">
        <v>87</v>
      </c>
      <c r="H37" s="4">
        <v>67</v>
      </c>
      <c r="I37" s="4">
        <v>72</v>
      </c>
      <c r="J37" s="4">
        <f t="shared" si="0"/>
        <v>440</v>
      </c>
      <c r="K37" s="10">
        <f t="shared" si="1"/>
        <v>73.333333333333329</v>
      </c>
      <c r="L37" s="4" t="str">
        <f t="shared" si="2"/>
        <v>B</v>
      </c>
    </row>
    <row r="38" spans="1:12" x14ac:dyDescent="0.3">
      <c r="A38" s="3">
        <v>33</v>
      </c>
      <c r="B38" s="3" t="s">
        <v>129</v>
      </c>
      <c r="C38" s="3" t="s">
        <v>130</v>
      </c>
      <c r="D38" s="2">
        <v>73</v>
      </c>
      <c r="E38" s="2">
        <v>76</v>
      </c>
      <c r="F38" s="2">
        <v>79</v>
      </c>
      <c r="G38" s="2">
        <v>83</v>
      </c>
      <c r="H38" s="2">
        <v>89</v>
      </c>
      <c r="I38" s="2">
        <v>48</v>
      </c>
      <c r="J38" s="2">
        <f t="shared" si="0"/>
        <v>448</v>
      </c>
      <c r="K38" s="9">
        <f t="shared" si="1"/>
        <v>74.666666666666671</v>
      </c>
      <c r="L38" s="2" t="str">
        <f t="shared" si="2"/>
        <v>B</v>
      </c>
    </row>
    <row r="39" spans="1:12" x14ac:dyDescent="0.3">
      <c r="A39" s="5">
        <v>34</v>
      </c>
      <c r="B39" s="5" t="s">
        <v>132</v>
      </c>
      <c r="C39" s="5" t="s">
        <v>133</v>
      </c>
      <c r="D39" s="4">
        <v>59</v>
      </c>
      <c r="E39" s="4">
        <v>54</v>
      </c>
      <c r="F39" s="4">
        <v>42</v>
      </c>
      <c r="G39" s="4">
        <v>61</v>
      </c>
      <c r="H39" s="4">
        <v>50</v>
      </c>
      <c r="I39" s="4">
        <v>57</v>
      </c>
      <c r="J39" s="4">
        <f t="shared" si="0"/>
        <v>323</v>
      </c>
      <c r="K39" s="10">
        <f t="shared" si="1"/>
        <v>53.833333333333336</v>
      </c>
      <c r="L39" s="4" t="str">
        <f t="shared" si="2"/>
        <v>D</v>
      </c>
    </row>
    <row r="40" spans="1:12" x14ac:dyDescent="0.3">
      <c r="A40" s="3">
        <v>35</v>
      </c>
      <c r="B40" s="3" t="s">
        <v>135</v>
      </c>
      <c r="C40" s="3" t="s">
        <v>136</v>
      </c>
      <c r="D40" s="2">
        <v>52</v>
      </c>
      <c r="E40" s="2">
        <v>52</v>
      </c>
      <c r="F40" s="2">
        <v>74</v>
      </c>
      <c r="G40" s="2">
        <v>75</v>
      </c>
      <c r="H40" s="2">
        <v>69</v>
      </c>
      <c r="I40" s="2">
        <v>70</v>
      </c>
      <c r="J40" s="2">
        <f t="shared" si="0"/>
        <v>392</v>
      </c>
      <c r="K40" s="9">
        <f t="shared" si="1"/>
        <v>65.333333333333329</v>
      </c>
      <c r="L40" s="2" t="str">
        <f t="shared" si="2"/>
        <v>C</v>
      </c>
    </row>
    <row r="41" spans="1:12" x14ac:dyDescent="0.3">
      <c r="A41" s="5">
        <v>36</v>
      </c>
      <c r="B41" s="5" t="s">
        <v>138</v>
      </c>
      <c r="C41" s="5" t="s">
        <v>139</v>
      </c>
      <c r="D41" s="4">
        <v>81</v>
      </c>
      <c r="E41" s="4">
        <v>67</v>
      </c>
      <c r="F41" s="4">
        <v>73</v>
      </c>
      <c r="G41" s="4">
        <v>75</v>
      </c>
      <c r="H41" s="4">
        <v>70</v>
      </c>
      <c r="I41" s="4">
        <v>76</v>
      </c>
      <c r="J41" s="4">
        <f t="shared" si="0"/>
        <v>442</v>
      </c>
      <c r="K41" s="10">
        <f t="shared" si="1"/>
        <v>73.666666666666671</v>
      </c>
      <c r="L41" s="4" t="str">
        <f t="shared" si="2"/>
        <v>B</v>
      </c>
    </row>
    <row r="42" spans="1:12" x14ac:dyDescent="0.3">
      <c r="A42" s="3">
        <v>37</v>
      </c>
      <c r="B42" s="3" t="s">
        <v>141</v>
      </c>
      <c r="C42" s="3" t="s">
        <v>142</v>
      </c>
      <c r="D42" s="2">
        <v>78</v>
      </c>
      <c r="E42" s="2">
        <v>65</v>
      </c>
      <c r="F42" s="2">
        <v>66</v>
      </c>
      <c r="G42" s="2">
        <v>89</v>
      </c>
      <c r="H42" s="2">
        <v>69</v>
      </c>
      <c r="I42" s="2">
        <v>75</v>
      </c>
      <c r="J42" s="2">
        <f t="shared" si="0"/>
        <v>442</v>
      </c>
      <c r="K42" s="9">
        <f t="shared" si="1"/>
        <v>73.666666666666671</v>
      </c>
      <c r="L42" s="2" t="str">
        <f t="shared" si="2"/>
        <v>B</v>
      </c>
    </row>
    <row r="43" spans="1:12" x14ac:dyDescent="0.3">
      <c r="A43" s="5">
        <v>38</v>
      </c>
      <c r="B43" s="5" t="s">
        <v>144</v>
      </c>
      <c r="C43" s="5" t="s">
        <v>145</v>
      </c>
      <c r="D43" s="4">
        <v>40</v>
      </c>
      <c r="E43" s="4">
        <v>67</v>
      </c>
      <c r="F43" s="4">
        <v>73</v>
      </c>
      <c r="G43" s="4">
        <v>78</v>
      </c>
      <c r="H43" s="4">
        <v>76</v>
      </c>
      <c r="I43" s="4">
        <v>44</v>
      </c>
      <c r="J43" s="4">
        <f t="shared" si="0"/>
        <v>378</v>
      </c>
      <c r="K43" s="10">
        <f t="shared" si="1"/>
        <v>63</v>
      </c>
      <c r="L43" s="4" t="str">
        <f t="shared" si="2"/>
        <v>C</v>
      </c>
    </row>
    <row r="44" spans="1:12" x14ac:dyDescent="0.3">
      <c r="A44" s="3">
        <v>39</v>
      </c>
      <c r="B44" s="3" t="s">
        <v>147</v>
      </c>
      <c r="C44" s="3" t="s">
        <v>148</v>
      </c>
      <c r="D44" s="2">
        <v>46</v>
      </c>
      <c r="E44" s="2">
        <v>78</v>
      </c>
      <c r="F44" s="2">
        <v>84</v>
      </c>
      <c r="G44" s="2">
        <v>67</v>
      </c>
      <c r="H44" s="2">
        <v>62</v>
      </c>
      <c r="I44" s="2">
        <v>46</v>
      </c>
      <c r="J44" s="2">
        <f t="shared" si="0"/>
        <v>383</v>
      </c>
      <c r="K44" s="9">
        <f t="shared" si="1"/>
        <v>63.833333333333336</v>
      </c>
      <c r="L44" s="2" t="str">
        <f t="shared" si="2"/>
        <v>C</v>
      </c>
    </row>
    <row r="45" spans="1:12" x14ac:dyDescent="0.3">
      <c r="A45" s="5">
        <v>40</v>
      </c>
      <c r="B45" s="5" t="s">
        <v>150</v>
      </c>
      <c r="C45" s="5" t="s">
        <v>151</v>
      </c>
      <c r="D45" s="4">
        <v>56</v>
      </c>
      <c r="E45" s="4">
        <v>85</v>
      </c>
      <c r="F45" s="4">
        <v>54</v>
      </c>
      <c r="G45" s="4">
        <v>50</v>
      </c>
      <c r="H45" s="4">
        <v>64</v>
      </c>
      <c r="I45" s="4">
        <v>75</v>
      </c>
      <c r="J45" s="4">
        <f t="shared" si="0"/>
        <v>384</v>
      </c>
      <c r="K45" s="10">
        <f t="shared" si="1"/>
        <v>64</v>
      </c>
      <c r="L45" s="4" t="str">
        <f t="shared" si="2"/>
        <v>C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DataMentah</vt:lpstr>
      <vt:lpstr>MasukDataManual</vt:lpstr>
      <vt:lpstr>DataValidation</vt:lpstr>
      <vt:lpstr>MasukDataForm</vt:lpstr>
      <vt:lpstr>SENARAI PELAJAR</vt:lpstr>
      <vt:lpstr>JENIS DATA</vt:lpstr>
      <vt:lpstr>AUTOFILL &amp; FLASHFILL</vt:lpstr>
      <vt:lpstr>FREEZE &amp; MERGE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Hafizah Bahaludin</cp:lastModifiedBy>
  <dcterms:created xsi:type="dcterms:W3CDTF">2026-05-03T22:39:11Z</dcterms:created>
  <dcterms:modified xsi:type="dcterms:W3CDTF">2026-05-04T05:20:41Z</dcterms:modified>
</cp:coreProperties>
</file>