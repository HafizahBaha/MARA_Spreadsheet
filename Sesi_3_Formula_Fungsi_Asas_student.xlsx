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f4e0daa8d158344/Activity/2026/Speaker Mara/Material/"/>
    </mc:Choice>
  </mc:AlternateContent>
  <xr:revisionPtr revIDLastSave="31" documentId="8_{3EA9E43D-DC4C-425D-8DA7-58FCB34E815C}" xr6:coauthVersionLast="47" xr6:coauthVersionMax="47" xr10:uidLastSave="{DF52793D-B906-408B-AD50-ED0617AE3A07}"/>
  <bookViews>
    <workbookView xWindow="-108" yWindow="-108" windowWidth="23256" windowHeight="12456" activeTab="4" xr2:uid="{00000000-000D-0000-FFFF-FFFF00000000}"/>
  </bookViews>
  <sheets>
    <sheet name="PENGIRAAN ASAS" sheetId="1" r:id="rId1"/>
    <sheet name="FUNGSI ASAS" sheetId="2" r:id="rId2"/>
    <sheet name="FUNGSI IF" sheetId="3" r:id="rId3"/>
    <sheet name="FUNGSI TEKS" sheetId="4" r:id="rId4"/>
    <sheet name="TARIKH &amp; MAS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H6" i="5"/>
  <c r="G6" i="5"/>
  <c r="E6" i="5"/>
  <c r="J6" i="5"/>
  <c r="L6" i="4"/>
  <c r="J6" i="3" a="1"/>
  <c r="J6" i="3" s="1"/>
  <c r="L6" i="2"/>
  <c r="J6" i="2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F53" i="3"/>
  <c r="E53" i="3"/>
  <c r="F52" i="3"/>
  <c r="E52" i="3"/>
  <c r="F51" i="3"/>
  <c r="E51" i="3"/>
  <c r="F50" i="3"/>
  <c r="E50" i="3"/>
  <c r="F49" i="3"/>
  <c r="E49" i="3"/>
  <c r="C54" i="2"/>
  <c r="B54" i="2"/>
  <c r="C53" i="2"/>
  <c r="B53" i="2"/>
  <c r="C52" i="2"/>
  <c r="B52" i="2"/>
  <c r="C51" i="2"/>
  <c r="B51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K6" i="2"/>
  <c r="I6" i="3" l="1"/>
  <c r="H6" i="3"/>
  <c r="B50" i="2"/>
  <c r="C50" i="2"/>
  <c r="L23" i="2"/>
  <c r="B49" i="2"/>
  <c r="C4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<sst xmlns="http://schemas.openxmlformats.org/spreadsheetml/2006/main" count="473" uniqueCount="187">
  <si>
    <t>PENGIRAAN ASAS — FORMULA MATEMATIK DALAM SPREADSHEET</t>
  </si>
  <si>
    <t>Latihan: +, -, *, /, perbandingan, dan kurungan | W4 — Basic Calculation</t>
  </si>
  <si>
    <t>📌 ARAHAN: Isi lajur E–M dengan formula berdasarkan markah pelajar di lajur B, C, D. Contoh: =B6+C6 untuk jumlah dua subjek.</t>
  </si>
  <si>
    <t>No. Maktab</t>
  </si>
  <si>
    <t>Markah MT</t>
  </si>
  <si>
    <t>Markah FZ</t>
  </si>
  <si>
    <t>Markah KM</t>
  </si>
  <si>
    <t>B+C (SUM 2)</t>
  </si>
  <si>
    <t>C-D</t>
  </si>
  <si>
    <t>B-20</t>
  </si>
  <si>
    <t>B+C-D</t>
  </si>
  <si>
    <t>B*C/100</t>
  </si>
  <si>
    <t>D/B</t>
  </si>
  <si>
    <t>B&gt;C?</t>
  </si>
  <si>
    <t>B=C?</t>
  </si>
  <si>
    <t>Markah Terbaik</t>
  </si>
  <si>
    <t>NT2411001</t>
  </si>
  <si>
    <t>NT2411002</t>
  </si>
  <si>
    <t>NT2411003</t>
  </si>
  <si>
    <t>NT2411004</t>
  </si>
  <si>
    <t>NT2411005</t>
  </si>
  <si>
    <t>NT2411006</t>
  </si>
  <si>
    <t>NT2411007</t>
  </si>
  <si>
    <t>NT2411008</t>
  </si>
  <si>
    <t>NT2411009</t>
  </si>
  <si>
    <t>NT2411010</t>
  </si>
  <si>
    <t>NT2411011</t>
  </si>
  <si>
    <t>NT2411012</t>
  </si>
  <si>
    <t>NT2411013</t>
  </si>
  <si>
    <t>NT2411014</t>
  </si>
  <si>
    <t>NT2411015</t>
  </si>
  <si>
    <t>NT2411016</t>
  </si>
  <si>
    <t>NT2411017</t>
  </si>
  <si>
    <t>NT2411018</t>
  </si>
  <si>
    <t>NT2411019</t>
  </si>
  <si>
    <t>NT2411020</t>
  </si>
  <si>
    <t>FUNGSI ASAS: SUM, AVERAGE, MIN, MAX, COUNT, COUNTA</t>
  </si>
  <si>
    <t>Gantikan data lapangan terbang dengan data pelajar MRSM | W4 — BasicFunctions</t>
  </si>
  <si>
    <t>📌 ARAHAN: Gunakan fungsi di lajur L–Q untuk analisis markah semua 40 pelajar. Formula ditulis untuk baris 6 hingga 45.</t>
  </si>
  <si>
    <t>Nama Pelajar</t>
  </si>
  <si>
    <t>Kelas</t>
  </si>
  <si>
    <t>MT</t>
  </si>
  <si>
    <t>FZ</t>
  </si>
  <si>
    <t>KM</t>
  </si>
  <si>
    <t>BI_sains</t>
  </si>
  <si>
    <t>BM</t>
  </si>
  <si>
    <t>BI_eng</t>
  </si>
  <si>
    <t>Jumlah</t>
  </si>
  <si>
    <t>Purata</t>
  </si>
  <si>
    <t>Gred</t>
  </si>
  <si>
    <t>Muhammad Irfan bin Mohd Zaidi</t>
  </si>
  <si>
    <t>Ibnu Khaldun</t>
  </si>
  <si>
    <t>Anis Syafiqah binti Khairul</t>
  </si>
  <si>
    <t>Danial Haris bin Norzaini</t>
  </si>
  <si>
    <t>Nurul Huda binti Rashid</t>
  </si>
  <si>
    <t>Iqbal Haziq bin Zulkifli</t>
  </si>
  <si>
    <t>Irdina Balqis binti Hasrul</t>
  </si>
  <si>
    <t>Hafiy Naqib bin Mansor</t>
  </si>
  <si>
    <t>Aishah Humaira binti Sahril</t>
  </si>
  <si>
    <t>Luqman Hakim bin Azman</t>
  </si>
  <si>
    <t>Afiqah Zulaikha binti Fadzillah</t>
  </si>
  <si>
    <t>Harith Zikry bin Jamaludin</t>
  </si>
  <si>
    <t>Izzah Syamimi binti Sharifudin</t>
  </si>
  <si>
    <t>Rayyan Adib bin Kamaruddin</t>
  </si>
  <si>
    <t>Yasmin Aliya binti Nordin</t>
  </si>
  <si>
    <t>Ikmal Hazwan bin Ahmad</t>
  </si>
  <si>
    <t>Balqis Athirah binti Mohd Zaidi</t>
  </si>
  <si>
    <t>Hazim Afiq bin Khairul</t>
  </si>
  <si>
    <t>Nurfatin Adila binti Norzaini</t>
  </si>
  <si>
    <t>Muaz Hazwan bin Rashid</t>
  </si>
  <si>
    <t>Izzati Nabila binti Zulkifli</t>
  </si>
  <si>
    <t>NT2411021</t>
  </si>
  <si>
    <t>Fikri Zahin bin Hasrul</t>
  </si>
  <si>
    <t>NT2411022</t>
  </si>
  <si>
    <t>Wardah Nabilah binti Mansor</t>
  </si>
  <si>
    <t>NT2411023</t>
  </si>
  <si>
    <t>Izzul Hakim bin Sahril</t>
  </si>
  <si>
    <t>NT2411024</t>
  </si>
  <si>
    <t>Amani Safiyya binti Azman</t>
  </si>
  <si>
    <t>NT2411025</t>
  </si>
  <si>
    <t>Ahmad Faris bin Fadzillah</t>
  </si>
  <si>
    <t>NT2411026</t>
  </si>
  <si>
    <t>Siti Rahmah binti Jamaludin</t>
  </si>
  <si>
    <t>NT2411027</t>
  </si>
  <si>
    <t>Aiman Hakim bin Sharifudin</t>
  </si>
  <si>
    <t>NT2411028</t>
  </si>
  <si>
    <t>Fatin Izzati binti Kamaruddin</t>
  </si>
  <si>
    <t>NT2411029</t>
  </si>
  <si>
    <t>Arif Syamil bin Nordin</t>
  </si>
  <si>
    <t>NT2411030</t>
  </si>
  <si>
    <t>Sofea Damia binti Ahmad</t>
  </si>
  <si>
    <t>NT2411031</t>
  </si>
  <si>
    <t>Zulhilmi Azri bin Mohd Zaidi</t>
  </si>
  <si>
    <t>NT2411032</t>
  </si>
  <si>
    <t>Qaisara Nadia binti Khairul</t>
  </si>
  <si>
    <t>NT2411033</t>
  </si>
  <si>
    <t>Syafiq Amri bin Norzaini</t>
  </si>
  <si>
    <t>NT2411034</t>
  </si>
  <si>
    <t>Dhiya Farhana binti Rashid</t>
  </si>
  <si>
    <t>NT2411035</t>
  </si>
  <si>
    <t>Ridhwan Azfar bin Zulkifli</t>
  </si>
  <si>
    <t>NT2411036</t>
  </si>
  <si>
    <t>Nadhirah Insyirah binti Hasrul</t>
  </si>
  <si>
    <t>NT2411037</t>
  </si>
  <si>
    <t>Faiq Nabil bin Mansor</t>
  </si>
  <si>
    <t>NT2411038</t>
  </si>
  <si>
    <t>Arina Batrisyia binti Sahril</t>
  </si>
  <si>
    <t>NT2411039</t>
  </si>
  <si>
    <t>Amsyar Dani bin Azman</t>
  </si>
  <si>
    <t>NT2411040</t>
  </si>
  <si>
    <t>Ummi Kalthum binti Fadzillah</t>
  </si>
  <si>
    <t>RINGKASAN KELAS — FUNGSI AGREGAT</t>
  </si>
  <si>
    <t>SUM Jumlah Keseluruhan</t>
  </si>
  <si>
    <t>AVERAGE Purata Kelas</t>
  </si>
  <si>
    <t>MIN Markah Terendah</t>
  </si>
  <si>
    <t>MAX Markah Tertinggi</t>
  </si>
  <si>
    <t>COUNT (nombor sahaja)</t>
  </si>
  <si>
    <t>COUNTA (semua sel berisi)</t>
  </si>
  <si>
    <t>FUNGSI IF — SYARAT LULUS/GAGAL &amp; GRED AUTOMATIK</t>
  </si>
  <si>
    <t>📌 ARAHAN: Lajur H (IF Lulus/Gagal) dan lajur I (Gred A-F) menggunakan fungsi IF. Cuba ubah markah untuk lihat gred berubah secara automatik.</t>
  </si>
  <si>
    <t>Matematik</t>
  </si>
  <si>
    <t>Bahasa Melayu</t>
  </si>
  <si>
    <t>BI</t>
  </si>
  <si>
    <t>IF: Lulus/Gagal</t>
  </si>
  <si>
    <t>IF: Gred</t>
  </si>
  <si>
    <t>IFS: Cemerlang?</t>
  </si>
  <si>
    <t>LATIHAN: FUNGSI COUNTIF &amp; SUM</t>
  </si>
  <si>
    <t>1</t>
  </si>
  <si>
    <t>Berapa pelajar yang LULUS Matematik?</t>
  </si>
  <si>
    <t>COUNTIF</t>
  </si>
  <si>
    <t>2</t>
  </si>
  <si>
    <t>Berapa pelajar yang dapat A dalam BM?</t>
  </si>
  <si>
    <t>3</t>
  </si>
  <si>
    <t>Jumlah markah Matematik kelas?</t>
  </si>
  <si>
    <t>SUM</t>
  </si>
  <si>
    <t>4</t>
  </si>
  <si>
    <t>Purata markah BI?</t>
  </si>
  <si>
    <t>AVERAGE</t>
  </si>
  <si>
    <t>5</t>
  </si>
  <si>
    <t>Berapa pelajar yang GAGAL Matematik?</t>
  </si>
  <si>
    <t>FUNGSI TEKS: LEFT, RIGHT, MID, LEN, TRIM, CONCAT, UPPER, LOWER, PROPER</t>
  </si>
  <si>
    <t>Gantikan kod produk dengan No. Maktab &amp; nama pelajar MRSM | W4 — TextFunction</t>
  </si>
  <si>
    <t>📌 ARAHAN: Gunakan fungsi teks di lajur D–N untuk ubah suai No. Maktab dan nama pelajar. Contoh: LEFT(B6,4) untuk ambil 'NT24' dari No. Maktab.</t>
  </si>
  <si>
    <t>Bil.</t>
  </si>
  <si>
    <t>Nama Penuh</t>
  </si>
  <si>
    <t>LEFT(4)</t>
  </si>
  <si>
    <t>RIGHT(3)</t>
  </si>
  <si>
    <t>MID(3,3)</t>
  </si>
  <si>
    <t>LEN</t>
  </si>
  <si>
    <t>UPPER</t>
  </si>
  <si>
    <t>LOWER</t>
  </si>
  <si>
    <t>PROPER</t>
  </si>
  <si>
    <t>TRIM</t>
  </si>
  <si>
    <t>CONCAT (No+Nama)</t>
  </si>
  <si>
    <t>LEN Nama</t>
  </si>
  <si>
    <t>TARIKH &amp; MASA — PENGIRAAN TARIKH PEPERIKSAAN</t>
  </si>
  <si>
    <t>TODAY(), NOW(), YEAR(), MONTH(), DAY(), DATEDIF() | W4 — Date &amp; Time</t>
  </si>
  <si>
    <t>📌 ARAHAN: Fungsi tarikh berguna untuk kira umur pelajar, bilangan hari sebelum peperiksaan, dan selang antara ujian.</t>
  </si>
  <si>
    <t>Tarikh Lahir</t>
  </si>
  <si>
    <t>Tarikh Masuk MRSM</t>
  </si>
  <si>
    <t>Umur Sekarang</t>
  </si>
  <si>
    <t>Tahun</t>
  </si>
  <si>
    <t>Bulan</t>
  </si>
  <si>
    <t>Hari</t>
  </si>
  <si>
    <t>Hari Hingga SPM</t>
  </si>
  <si>
    <t>Tempoh di MRSM (hari)</t>
  </si>
  <si>
    <t>13/03/2009</t>
  </si>
  <si>
    <t>07/01/2024</t>
  </si>
  <si>
    <t>20/04/2009</t>
  </si>
  <si>
    <t>23/08/2009</t>
  </si>
  <si>
    <t>16/08/2009</t>
  </si>
  <si>
    <t>08/02/2009</t>
  </si>
  <si>
    <t>11/08/2009</t>
  </si>
  <si>
    <t>17/08/2009</t>
  </si>
  <si>
    <t>06/05/2009</t>
  </si>
  <si>
    <t>10/02/2009</t>
  </si>
  <si>
    <t>24/09/2009</t>
  </si>
  <si>
    <t>18/10/2009</t>
  </si>
  <si>
    <t>20/12/2009</t>
  </si>
  <si>
    <t>10/04/2009</t>
  </si>
  <si>
    <t>27/02/2009</t>
  </si>
  <si>
    <t>21/06/2009</t>
  </si>
  <si>
    <t>13/11/2009</t>
  </si>
  <si>
    <t>07/05/2009</t>
  </si>
  <si>
    <t>22/04/2009</t>
  </si>
  <si>
    <t>03/08/2009</t>
  </si>
  <si>
    <t xml:space="preserve">Gantikan data jualan dengan markah pelajar MRSM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</si>
</sst>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55555"/>
      <name val="Arial"/>
    </font>
    <font>
      <b/>
      <sz val="9"/>
      <color rgb="FF663300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10"/>
      <color rgb="FFFFFFFF"/>
      <name val="Arial"/>
    </font>
    <font>
      <b/>
      <sz val="9"/>
      <color rgb="FF1A1A1A"/>
      <name val="Arial"/>
    </font>
    <font>
      <i/>
      <sz val="9"/>
      <color rgb="FF1A3D8A"/>
      <name val="Arial"/>
    </font>
    <font>
      <b/>
      <sz val="9"/>
      <color rgb="FF534AB7"/>
      <name val="Arial"/>
    </font>
  </fonts>
  <fills count="9">
    <fill>
      <patternFill patternType="none"/>
    </fill>
    <fill>
      <patternFill patternType="gray125"/>
    </fill>
    <fill>
      <patternFill patternType="solid">
        <fgColor rgb="FF534AB7"/>
      </patternFill>
    </fill>
    <fill>
      <patternFill patternType="solid">
        <fgColor rgb="FFF5F5F5"/>
      </patternFill>
    </fill>
    <fill>
      <patternFill patternType="solid">
        <fgColor rgb="FFFFF3CD"/>
      </patternFill>
    </fill>
    <fill>
      <patternFill patternType="solid">
        <fgColor rgb="FFE0DDF8"/>
      </patternFill>
    </fill>
    <fill>
      <patternFill patternType="solid">
        <fgColor rgb="FFFFF8F2"/>
      </patternFill>
    </fill>
    <fill>
      <patternFill patternType="solid">
        <fgColor rgb="FFFFFFFF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8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6" borderId="1" xfId="0" applyFont="1" applyFill="1" applyBorder="1"/>
    <xf numFmtId="0" fontId="0" fillId="6" borderId="1" xfId="0" applyFill="1" applyBorder="1"/>
    <xf numFmtId="0" fontId="9" fillId="6" borderId="1" xfId="0" applyFont="1" applyFill="1" applyBorder="1"/>
    <xf numFmtId="0" fontId="8" fillId="6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/>
    <xf numFmtId="0" fontId="0" fillId="7" borderId="1" xfId="0" applyFill="1" applyBorder="1"/>
    <xf numFmtId="0" fontId="9" fillId="7" borderId="1" xfId="0" applyFont="1" applyFill="1" applyBorder="1"/>
    <xf numFmtId="0" fontId="8" fillId="7" borderId="1" xfId="0" applyFont="1" applyFill="1" applyBorder="1"/>
    <xf numFmtId="0" fontId="7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7" fillId="5" borderId="1" xfId="0" applyFont="1" applyFill="1" applyBorder="1"/>
    <xf numFmtId="0" fontId="6" fillId="2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ySplit="5" topLeftCell="A6" activePane="bottomLeft" state="frozen"/>
      <selection pane="bottomLeft" activeCell="G10" sqref="G10"/>
    </sheetView>
  </sheetViews>
  <sheetFormatPr defaultRowHeight="14.4" x14ac:dyDescent="0.3"/>
  <cols>
    <col min="1" max="1" width="13" customWidth="1"/>
    <col min="2" max="10" width="12" customWidth="1"/>
    <col min="11" max="12" width="10" customWidth="1"/>
    <col min="13" max="13" width="14" customWidth="1"/>
  </cols>
  <sheetData>
    <row r="1" spans="1:13" ht="25.9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3" ht="13.95" customHeight="1" x14ac:dyDescent="0.3">
      <c r="A2" s="29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3" ht="16.05" customHeight="1" x14ac:dyDescent="0.3">
      <c r="A3" s="28" t="s">
        <v>2</v>
      </c>
      <c r="B3" s="27"/>
      <c r="C3" s="27"/>
      <c r="D3" s="27"/>
      <c r="E3" s="27"/>
      <c r="F3" s="27"/>
      <c r="G3" s="27"/>
      <c r="H3" s="27"/>
      <c r="I3" s="27"/>
      <c r="J3" s="27"/>
    </row>
    <row r="5" spans="1:13" ht="19.95" customHeight="1" x14ac:dyDescent="0.3">
      <c r="A5" s="32" t="s">
        <v>3</v>
      </c>
      <c r="B5" s="32" t="s">
        <v>4</v>
      </c>
      <c r="C5" s="32" t="s">
        <v>5</v>
      </c>
      <c r="D5" s="32" t="s">
        <v>6</v>
      </c>
      <c r="E5" s="32" t="s">
        <v>7</v>
      </c>
      <c r="F5" s="32" t="s">
        <v>8</v>
      </c>
      <c r="G5" s="32" t="s">
        <v>9</v>
      </c>
      <c r="H5" s="32" t="s">
        <v>10</v>
      </c>
      <c r="I5" s="32" t="s">
        <v>11</v>
      </c>
      <c r="J5" s="32" t="s">
        <v>12</v>
      </c>
      <c r="K5" s="32" t="s">
        <v>13</v>
      </c>
      <c r="L5" s="32" t="s">
        <v>14</v>
      </c>
      <c r="M5" s="32" t="s">
        <v>15</v>
      </c>
    </row>
    <row r="6" spans="1:13" x14ac:dyDescent="0.3">
      <c r="A6" s="2" t="s">
        <v>16</v>
      </c>
      <c r="B6" s="2">
        <v>80</v>
      </c>
      <c r="C6" s="2">
        <v>53</v>
      </c>
      <c r="D6" s="2">
        <v>82</v>
      </c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3" t="s">
        <v>17</v>
      </c>
      <c r="B7" s="3">
        <v>47</v>
      </c>
      <c r="C7" s="3">
        <v>84</v>
      </c>
      <c r="D7" s="3">
        <v>80</v>
      </c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" t="s">
        <v>18</v>
      </c>
      <c r="B8" s="2">
        <v>76</v>
      </c>
      <c r="C8" s="2">
        <v>59</v>
      </c>
      <c r="D8" s="2">
        <v>78</v>
      </c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3" t="s">
        <v>19</v>
      </c>
      <c r="B9" s="3">
        <v>77</v>
      </c>
      <c r="C9" s="3">
        <v>50</v>
      </c>
      <c r="D9" s="3">
        <v>57</v>
      </c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" t="s">
        <v>20</v>
      </c>
      <c r="B10" s="2">
        <v>79</v>
      </c>
      <c r="C10" s="2">
        <v>74</v>
      </c>
      <c r="D10" s="2">
        <v>58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3" t="s">
        <v>21</v>
      </c>
      <c r="B11" s="3">
        <v>90</v>
      </c>
      <c r="C11" s="3">
        <v>80</v>
      </c>
      <c r="D11" s="3">
        <v>60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" t="s">
        <v>22</v>
      </c>
      <c r="B12" s="2">
        <v>67</v>
      </c>
      <c r="C12" s="2">
        <v>67</v>
      </c>
      <c r="D12" s="2">
        <v>53</v>
      </c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3" t="s">
        <v>23</v>
      </c>
      <c r="B13" s="3">
        <v>68</v>
      </c>
      <c r="C13" s="3">
        <v>65</v>
      </c>
      <c r="D13" s="3">
        <v>55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" t="s">
        <v>24</v>
      </c>
      <c r="B14" s="2">
        <v>67</v>
      </c>
      <c r="C14" s="2">
        <v>71</v>
      </c>
      <c r="D14" s="2">
        <v>90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3" t="s">
        <v>25</v>
      </c>
      <c r="B15" s="3">
        <v>74</v>
      </c>
      <c r="C15" s="3">
        <v>66</v>
      </c>
      <c r="D15" s="3">
        <v>70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" t="s">
        <v>26</v>
      </c>
      <c r="B16" s="2">
        <v>57</v>
      </c>
      <c r="C16" s="2">
        <v>46</v>
      </c>
      <c r="D16" s="2">
        <v>82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3" t="s">
        <v>27</v>
      </c>
      <c r="B17" s="3">
        <v>77</v>
      </c>
      <c r="C17" s="3">
        <v>79</v>
      </c>
      <c r="D17" s="3">
        <v>70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" t="s">
        <v>28</v>
      </c>
      <c r="B18" s="2">
        <v>83</v>
      </c>
      <c r="C18" s="2">
        <v>77</v>
      </c>
      <c r="D18" s="2">
        <v>49</v>
      </c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3" t="s">
        <v>29</v>
      </c>
      <c r="B19" s="3">
        <v>63</v>
      </c>
      <c r="C19" s="3">
        <v>70</v>
      </c>
      <c r="D19" s="3">
        <v>64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" t="s">
        <v>30</v>
      </c>
      <c r="B20" s="2">
        <v>57</v>
      </c>
      <c r="C20" s="2">
        <v>69</v>
      </c>
      <c r="D20" s="2">
        <v>59</v>
      </c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3" t="s">
        <v>31</v>
      </c>
      <c r="B21" s="3">
        <v>62</v>
      </c>
      <c r="C21" s="3">
        <v>60</v>
      </c>
      <c r="D21" s="3">
        <v>62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" t="s">
        <v>32</v>
      </c>
      <c r="B22" s="2">
        <v>54</v>
      </c>
      <c r="C22" s="2">
        <v>69</v>
      </c>
      <c r="D22" s="2">
        <v>49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3" t="s">
        <v>33</v>
      </c>
      <c r="B23" s="3">
        <v>71</v>
      </c>
      <c r="C23" s="3">
        <v>80</v>
      </c>
      <c r="D23" s="3">
        <v>77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" t="s">
        <v>34</v>
      </c>
      <c r="B24" s="2">
        <v>95</v>
      </c>
      <c r="C24" s="2">
        <v>92</v>
      </c>
      <c r="D24" s="2">
        <v>49</v>
      </c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3" t="s">
        <v>35</v>
      </c>
      <c r="B25" s="3">
        <v>58</v>
      </c>
      <c r="C25" s="3">
        <v>65</v>
      </c>
      <c r="D25" s="3">
        <v>79</v>
      </c>
      <c r="E25" s="3"/>
      <c r="F25" s="3"/>
      <c r="G25" s="3"/>
      <c r="H25" s="3"/>
      <c r="I25" s="3"/>
      <c r="J25" s="3"/>
      <c r="K25" s="3"/>
      <c r="L25" s="3"/>
      <c r="M25" s="3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"/>
  <sheetViews>
    <sheetView workbookViewId="0">
      <pane ySplit="5" topLeftCell="A6" activePane="bottomLeft" state="frozen"/>
      <selection pane="bottomLeft" activeCell="J6" sqref="J6"/>
    </sheetView>
  </sheetViews>
  <sheetFormatPr defaultRowHeight="14.4" x14ac:dyDescent="0.3"/>
  <cols>
    <col min="1" max="1" width="13" customWidth="1"/>
    <col min="2" max="2" width="28" customWidth="1"/>
    <col min="3" max="3" width="16" customWidth="1"/>
    <col min="4" max="11" width="10" customWidth="1"/>
    <col min="12" max="12" width="8" customWidth="1"/>
  </cols>
  <sheetData>
    <row r="1" spans="1:12" ht="25.95" customHeight="1" x14ac:dyDescent="0.3">
      <c r="A1" s="26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3.95" customHeight="1" x14ac:dyDescent="0.3">
      <c r="A2" s="29" t="s">
        <v>37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6.05" customHeight="1" x14ac:dyDescent="0.3">
      <c r="A3" s="28" t="s">
        <v>38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1:12" ht="19.95" customHeight="1" x14ac:dyDescent="0.3">
      <c r="A5" s="1" t="s">
        <v>3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49</v>
      </c>
    </row>
    <row r="6" spans="1:12" x14ac:dyDescent="0.3">
      <c r="A6" s="4" t="s">
        <v>16</v>
      </c>
      <c r="B6" s="4" t="s">
        <v>50</v>
      </c>
      <c r="C6" s="4" t="s">
        <v>51</v>
      </c>
      <c r="D6" s="2">
        <v>80</v>
      </c>
      <c r="E6" s="2">
        <v>53</v>
      </c>
      <c r="F6" s="2">
        <v>82</v>
      </c>
      <c r="G6" s="2">
        <v>88</v>
      </c>
      <c r="H6" s="2">
        <v>85</v>
      </c>
      <c r="I6" s="2">
        <v>50</v>
      </c>
      <c r="J6" s="2">
        <f>SUM(D6:I6)</f>
        <v>438</v>
      </c>
      <c r="K6" s="5">
        <f t="shared" ref="K6:K45" si="0">AVERAGE(D6:I6)</f>
        <v>73</v>
      </c>
      <c r="L6" s="2" t="str">
        <f>IF(K6&gt;=80,"A",IF(K6&gt;=70,"B",IF(K6&gt;=60,"C",IF(K6&gt;=50,"D","F"))))</f>
        <v>B</v>
      </c>
    </row>
    <row r="7" spans="1:12" x14ac:dyDescent="0.3">
      <c r="A7" s="6" t="s">
        <v>17</v>
      </c>
      <c r="B7" s="6" t="s">
        <v>52</v>
      </c>
      <c r="C7" s="6" t="s">
        <v>51</v>
      </c>
      <c r="D7" s="3">
        <v>47</v>
      </c>
      <c r="E7" s="3">
        <v>84</v>
      </c>
      <c r="F7" s="3">
        <v>80</v>
      </c>
      <c r="G7" s="3">
        <v>80</v>
      </c>
      <c r="H7" s="3">
        <v>43</v>
      </c>
      <c r="I7" s="3">
        <v>82</v>
      </c>
      <c r="J7" s="3"/>
      <c r="K7" s="7"/>
      <c r="L7" s="3" t="str">
        <f t="shared" ref="L6:L45" si="1">IF(K7&gt;=80,"A",IF(K7&gt;=70,"B",IF(K7&gt;=60,"C",IF(K7&gt;=50,"D","F"))))</f>
        <v>F</v>
      </c>
    </row>
    <row r="8" spans="1:12" x14ac:dyDescent="0.3">
      <c r="A8" s="4" t="s">
        <v>18</v>
      </c>
      <c r="B8" s="4" t="s">
        <v>53</v>
      </c>
      <c r="C8" s="4" t="s">
        <v>51</v>
      </c>
      <c r="D8" s="2">
        <v>76</v>
      </c>
      <c r="E8" s="2">
        <v>59</v>
      </c>
      <c r="F8" s="2">
        <v>78</v>
      </c>
      <c r="G8" s="2">
        <v>47</v>
      </c>
      <c r="H8" s="2">
        <v>53</v>
      </c>
      <c r="I8" s="2">
        <v>70</v>
      </c>
      <c r="J8" s="2"/>
      <c r="K8" s="5"/>
      <c r="L8" s="2" t="str">
        <f t="shared" si="1"/>
        <v>F</v>
      </c>
    </row>
    <row r="9" spans="1:12" x14ac:dyDescent="0.3">
      <c r="A9" s="6" t="s">
        <v>19</v>
      </c>
      <c r="B9" s="6" t="s">
        <v>54</v>
      </c>
      <c r="C9" s="6" t="s">
        <v>51</v>
      </c>
      <c r="D9" s="3">
        <v>77</v>
      </c>
      <c r="E9" s="3">
        <v>50</v>
      </c>
      <c r="F9" s="3">
        <v>57</v>
      </c>
      <c r="G9" s="3">
        <v>78</v>
      </c>
      <c r="H9" s="3">
        <v>65</v>
      </c>
      <c r="I9" s="3">
        <v>66</v>
      </c>
      <c r="J9" s="3"/>
      <c r="K9" s="7"/>
      <c r="L9" s="3" t="str">
        <f t="shared" si="1"/>
        <v>F</v>
      </c>
    </row>
    <row r="10" spans="1:12" x14ac:dyDescent="0.3">
      <c r="A10" s="4" t="s">
        <v>20</v>
      </c>
      <c r="B10" s="4" t="s">
        <v>55</v>
      </c>
      <c r="C10" s="4" t="s">
        <v>51</v>
      </c>
      <c r="D10" s="2">
        <v>79</v>
      </c>
      <c r="E10" s="2">
        <v>74</v>
      </c>
      <c r="F10" s="2">
        <v>58</v>
      </c>
      <c r="G10" s="2">
        <v>67</v>
      </c>
      <c r="H10" s="2">
        <v>71</v>
      </c>
      <c r="I10" s="2">
        <v>49</v>
      </c>
      <c r="J10" s="2"/>
      <c r="K10" s="5"/>
      <c r="L10" s="2" t="str">
        <f t="shared" si="1"/>
        <v>F</v>
      </c>
    </row>
    <row r="11" spans="1:12" x14ac:dyDescent="0.3">
      <c r="A11" s="6" t="s">
        <v>21</v>
      </c>
      <c r="B11" s="6" t="s">
        <v>56</v>
      </c>
      <c r="C11" s="6" t="s">
        <v>51</v>
      </c>
      <c r="D11" s="3">
        <v>90</v>
      </c>
      <c r="E11" s="3">
        <v>80</v>
      </c>
      <c r="F11" s="3">
        <v>60</v>
      </c>
      <c r="G11" s="3">
        <v>79</v>
      </c>
      <c r="H11" s="3">
        <v>79</v>
      </c>
      <c r="I11" s="3">
        <v>69</v>
      </c>
      <c r="J11" s="3"/>
      <c r="K11" s="7"/>
      <c r="L11" s="3" t="str">
        <f t="shared" si="1"/>
        <v>F</v>
      </c>
    </row>
    <row r="12" spans="1:12" x14ac:dyDescent="0.3">
      <c r="A12" s="4" t="s">
        <v>22</v>
      </c>
      <c r="B12" s="4" t="s">
        <v>57</v>
      </c>
      <c r="C12" s="4" t="s">
        <v>51</v>
      </c>
      <c r="D12" s="2">
        <v>67</v>
      </c>
      <c r="E12" s="2">
        <v>67</v>
      </c>
      <c r="F12" s="2">
        <v>53</v>
      </c>
      <c r="G12" s="2">
        <v>51</v>
      </c>
      <c r="H12" s="2">
        <v>53</v>
      </c>
      <c r="I12" s="2">
        <v>49</v>
      </c>
      <c r="J12" s="2"/>
      <c r="K12" s="5"/>
      <c r="L12" s="2" t="str">
        <f t="shared" si="1"/>
        <v>F</v>
      </c>
    </row>
    <row r="13" spans="1:12" x14ac:dyDescent="0.3">
      <c r="A13" s="6" t="s">
        <v>23</v>
      </c>
      <c r="B13" s="6" t="s">
        <v>58</v>
      </c>
      <c r="C13" s="6" t="s">
        <v>51</v>
      </c>
      <c r="D13" s="3">
        <v>68</v>
      </c>
      <c r="E13" s="3">
        <v>65</v>
      </c>
      <c r="F13" s="3">
        <v>55</v>
      </c>
      <c r="G13" s="3">
        <v>82</v>
      </c>
      <c r="H13" s="3">
        <v>44</v>
      </c>
      <c r="I13" s="3">
        <v>46</v>
      </c>
      <c r="J13" s="3"/>
      <c r="K13" s="7"/>
      <c r="L13" s="3" t="str">
        <f t="shared" si="1"/>
        <v>F</v>
      </c>
    </row>
    <row r="14" spans="1:12" x14ac:dyDescent="0.3">
      <c r="A14" s="4" t="s">
        <v>24</v>
      </c>
      <c r="B14" s="4" t="s">
        <v>59</v>
      </c>
      <c r="C14" s="4" t="s">
        <v>51</v>
      </c>
      <c r="D14" s="2">
        <v>67</v>
      </c>
      <c r="E14" s="2">
        <v>71</v>
      </c>
      <c r="F14" s="2">
        <v>90</v>
      </c>
      <c r="G14" s="2">
        <v>67</v>
      </c>
      <c r="H14" s="2">
        <v>79</v>
      </c>
      <c r="I14" s="2">
        <v>77</v>
      </c>
      <c r="J14" s="2"/>
      <c r="K14" s="5"/>
      <c r="L14" s="2" t="str">
        <f t="shared" si="1"/>
        <v>F</v>
      </c>
    </row>
    <row r="15" spans="1:12" x14ac:dyDescent="0.3">
      <c r="A15" s="6" t="s">
        <v>25</v>
      </c>
      <c r="B15" s="6" t="s">
        <v>60</v>
      </c>
      <c r="C15" s="6" t="s">
        <v>51</v>
      </c>
      <c r="D15" s="3">
        <v>74</v>
      </c>
      <c r="E15" s="3">
        <v>66</v>
      </c>
      <c r="F15" s="3">
        <v>70</v>
      </c>
      <c r="G15" s="3">
        <v>60</v>
      </c>
      <c r="H15" s="3">
        <v>75</v>
      </c>
      <c r="I15" s="3">
        <v>69</v>
      </c>
      <c r="J15" s="3"/>
      <c r="K15" s="7"/>
      <c r="L15" s="3" t="str">
        <f t="shared" si="1"/>
        <v>F</v>
      </c>
    </row>
    <row r="16" spans="1:12" x14ac:dyDescent="0.3">
      <c r="A16" s="4" t="s">
        <v>26</v>
      </c>
      <c r="B16" s="4" t="s">
        <v>61</v>
      </c>
      <c r="C16" s="4" t="s">
        <v>51</v>
      </c>
      <c r="D16" s="2">
        <v>57</v>
      </c>
      <c r="E16" s="2">
        <v>46</v>
      </c>
      <c r="F16" s="2">
        <v>82</v>
      </c>
      <c r="G16" s="2">
        <v>82</v>
      </c>
      <c r="H16" s="2">
        <v>91</v>
      </c>
      <c r="I16" s="2">
        <v>62</v>
      </c>
      <c r="J16" s="2"/>
      <c r="K16" s="5"/>
      <c r="L16" s="2" t="str">
        <f t="shared" si="1"/>
        <v>F</v>
      </c>
    </row>
    <row r="17" spans="1:12" x14ac:dyDescent="0.3">
      <c r="A17" s="6" t="s">
        <v>27</v>
      </c>
      <c r="B17" s="6" t="s">
        <v>62</v>
      </c>
      <c r="C17" s="6" t="s">
        <v>51</v>
      </c>
      <c r="D17" s="3">
        <v>77</v>
      </c>
      <c r="E17" s="3">
        <v>79</v>
      </c>
      <c r="F17" s="3">
        <v>70</v>
      </c>
      <c r="G17" s="3">
        <v>48</v>
      </c>
      <c r="H17" s="3">
        <v>40</v>
      </c>
      <c r="I17" s="3">
        <v>55</v>
      </c>
      <c r="J17" s="3"/>
      <c r="K17" s="7"/>
      <c r="L17" s="3" t="str">
        <f t="shared" si="1"/>
        <v>F</v>
      </c>
    </row>
    <row r="18" spans="1:12" x14ac:dyDescent="0.3">
      <c r="A18" s="4" t="s">
        <v>28</v>
      </c>
      <c r="B18" s="4" t="s">
        <v>63</v>
      </c>
      <c r="C18" s="4" t="s">
        <v>51</v>
      </c>
      <c r="D18" s="2">
        <v>83</v>
      </c>
      <c r="E18" s="2">
        <v>77</v>
      </c>
      <c r="F18" s="2">
        <v>49</v>
      </c>
      <c r="G18" s="2">
        <v>45</v>
      </c>
      <c r="H18" s="2">
        <v>68</v>
      </c>
      <c r="I18" s="2">
        <v>53</v>
      </c>
      <c r="J18" s="2"/>
      <c r="K18" s="5"/>
      <c r="L18" s="2" t="str">
        <f t="shared" si="1"/>
        <v>F</v>
      </c>
    </row>
    <row r="19" spans="1:12" x14ac:dyDescent="0.3">
      <c r="A19" s="6" t="s">
        <v>29</v>
      </c>
      <c r="B19" s="6" t="s">
        <v>64</v>
      </c>
      <c r="C19" s="6" t="s">
        <v>51</v>
      </c>
      <c r="D19" s="3">
        <v>63</v>
      </c>
      <c r="E19" s="3">
        <v>70</v>
      </c>
      <c r="F19" s="3">
        <v>64</v>
      </c>
      <c r="G19" s="3">
        <v>89</v>
      </c>
      <c r="H19" s="3">
        <v>92</v>
      </c>
      <c r="I19" s="3">
        <v>60</v>
      </c>
      <c r="J19" s="3"/>
      <c r="K19" s="7"/>
      <c r="L19" s="3" t="str">
        <f t="shared" si="1"/>
        <v>F</v>
      </c>
    </row>
    <row r="20" spans="1:12" x14ac:dyDescent="0.3">
      <c r="A20" s="4" t="s">
        <v>30</v>
      </c>
      <c r="B20" s="4" t="s">
        <v>65</v>
      </c>
      <c r="C20" s="4" t="s">
        <v>51</v>
      </c>
      <c r="D20" s="2">
        <v>57</v>
      </c>
      <c r="E20" s="2">
        <v>69</v>
      </c>
      <c r="F20" s="2">
        <v>59</v>
      </c>
      <c r="G20" s="2">
        <v>69</v>
      </c>
      <c r="H20" s="2">
        <v>47</v>
      </c>
      <c r="I20" s="2">
        <v>89</v>
      </c>
      <c r="J20" s="2"/>
      <c r="K20" s="5"/>
      <c r="L20" s="2" t="str">
        <f t="shared" si="1"/>
        <v>F</v>
      </c>
    </row>
    <row r="21" spans="1:12" x14ac:dyDescent="0.3">
      <c r="A21" s="6" t="s">
        <v>31</v>
      </c>
      <c r="B21" s="6" t="s">
        <v>66</v>
      </c>
      <c r="C21" s="6" t="s">
        <v>51</v>
      </c>
      <c r="D21" s="3">
        <v>62</v>
      </c>
      <c r="E21" s="3">
        <v>60</v>
      </c>
      <c r="F21" s="3">
        <v>62</v>
      </c>
      <c r="G21" s="3">
        <v>75</v>
      </c>
      <c r="H21" s="3">
        <v>58</v>
      </c>
      <c r="I21" s="3">
        <v>73</v>
      </c>
      <c r="J21" s="3"/>
      <c r="K21" s="7"/>
      <c r="L21" s="3" t="str">
        <f t="shared" si="1"/>
        <v>F</v>
      </c>
    </row>
    <row r="22" spans="1:12" x14ac:dyDescent="0.3">
      <c r="A22" s="4" t="s">
        <v>32</v>
      </c>
      <c r="B22" s="4" t="s">
        <v>67</v>
      </c>
      <c r="C22" s="4" t="s">
        <v>51</v>
      </c>
      <c r="D22" s="2">
        <v>54</v>
      </c>
      <c r="E22" s="2">
        <v>69</v>
      </c>
      <c r="F22" s="2">
        <v>49</v>
      </c>
      <c r="G22" s="2">
        <v>43</v>
      </c>
      <c r="H22" s="2">
        <v>59</v>
      </c>
      <c r="I22" s="2">
        <v>76</v>
      </c>
      <c r="J22" s="2"/>
      <c r="K22" s="5"/>
      <c r="L22" s="2" t="str">
        <f t="shared" si="1"/>
        <v>F</v>
      </c>
    </row>
    <row r="23" spans="1:12" x14ac:dyDescent="0.3">
      <c r="A23" s="6" t="s">
        <v>33</v>
      </c>
      <c r="B23" s="6" t="s">
        <v>68</v>
      </c>
      <c r="C23" s="6" t="s">
        <v>51</v>
      </c>
      <c r="D23" s="3">
        <v>71</v>
      </c>
      <c r="E23" s="3">
        <v>80</v>
      </c>
      <c r="F23" s="3">
        <v>77</v>
      </c>
      <c r="G23" s="3">
        <v>89</v>
      </c>
      <c r="H23" s="3">
        <v>81</v>
      </c>
      <c r="I23" s="3">
        <v>74</v>
      </c>
      <c r="J23" s="3"/>
      <c r="K23" s="7"/>
      <c r="L23" s="3" t="str">
        <f t="shared" si="1"/>
        <v>F</v>
      </c>
    </row>
    <row r="24" spans="1:12" x14ac:dyDescent="0.3">
      <c r="A24" s="4" t="s">
        <v>34</v>
      </c>
      <c r="B24" s="4" t="s">
        <v>69</v>
      </c>
      <c r="C24" s="4" t="s">
        <v>51</v>
      </c>
      <c r="D24" s="2">
        <v>95</v>
      </c>
      <c r="E24" s="2">
        <v>92</v>
      </c>
      <c r="F24" s="2">
        <v>49</v>
      </c>
      <c r="G24" s="2">
        <v>54</v>
      </c>
      <c r="H24" s="2">
        <v>80</v>
      </c>
      <c r="I24" s="2">
        <v>53</v>
      </c>
      <c r="J24" s="2"/>
      <c r="K24" s="5"/>
      <c r="L24" s="2" t="str">
        <f t="shared" si="1"/>
        <v>F</v>
      </c>
    </row>
    <row r="25" spans="1:12" x14ac:dyDescent="0.3">
      <c r="A25" s="6" t="s">
        <v>35</v>
      </c>
      <c r="B25" s="6" t="s">
        <v>70</v>
      </c>
      <c r="C25" s="6" t="s">
        <v>51</v>
      </c>
      <c r="D25" s="3">
        <v>58</v>
      </c>
      <c r="E25" s="3">
        <v>65</v>
      </c>
      <c r="F25" s="3">
        <v>79</v>
      </c>
      <c r="G25" s="3">
        <v>66</v>
      </c>
      <c r="H25" s="3">
        <v>65</v>
      </c>
      <c r="I25" s="3">
        <v>87</v>
      </c>
      <c r="J25" s="3"/>
      <c r="K25" s="7"/>
      <c r="L25" s="3" t="str">
        <f t="shared" si="1"/>
        <v>F</v>
      </c>
    </row>
    <row r="26" spans="1:12" x14ac:dyDescent="0.3">
      <c r="A26" s="4" t="s">
        <v>71</v>
      </c>
      <c r="B26" s="4" t="s">
        <v>72</v>
      </c>
      <c r="C26" s="4" t="s">
        <v>51</v>
      </c>
      <c r="D26" s="2">
        <v>75</v>
      </c>
      <c r="E26" s="2">
        <v>59</v>
      </c>
      <c r="F26" s="2">
        <v>72</v>
      </c>
      <c r="G26" s="2">
        <v>82</v>
      </c>
      <c r="H26" s="2">
        <v>94</v>
      </c>
      <c r="I26" s="2">
        <v>53</v>
      </c>
      <c r="J26" s="2"/>
      <c r="K26" s="5"/>
      <c r="L26" s="2" t="str">
        <f t="shared" si="1"/>
        <v>F</v>
      </c>
    </row>
    <row r="27" spans="1:12" x14ac:dyDescent="0.3">
      <c r="A27" s="6" t="s">
        <v>73</v>
      </c>
      <c r="B27" s="6" t="s">
        <v>74</v>
      </c>
      <c r="C27" s="6" t="s">
        <v>51</v>
      </c>
      <c r="D27" s="3">
        <v>55</v>
      </c>
      <c r="E27" s="3">
        <v>49</v>
      </c>
      <c r="F27" s="3">
        <v>67</v>
      </c>
      <c r="G27" s="3">
        <v>88</v>
      </c>
      <c r="H27" s="3">
        <v>67</v>
      </c>
      <c r="I27" s="3">
        <v>69</v>
      </c>
      <c r="J27" s="3"/>
      <c r="K27" s="7"/>
      <c r="L27" s="3" t="str">
        <f t="shared" si="1"/>
        <v>F</v>
      </c>
    </row>
    <row r="28" spans="1:12" x14ac:dyDescent="0.3">
      <c r="A28" s="4" t="s">
        <v>75</v>
      </c>
      <c r="B28" s="4" t="s">
        <v>76</v>
      </c>
      <c r="C28" s="4" t="s">
        <v>51</v>
      </c>
      <c r="D28" s="2">
        <v>72</v>
      </c>
      <c r="E28" s="2">
        <v>59</v>
      </c>
      <c r="F28" s="2">
        <v>89</v>
      </c>
      <c r="G28" s="2">
        <v>78</v>
      </c>
      <c r="H28" s="2">
        <v>89</v>
      </c>
      <c r="I28" s="2">
        <v>68</v>
      </c>
      <c r="J28" s="2"/>
      <c r="K28" s="5"/>
      <c r="L28" s="2" t="str">
        <f t="shared" si="1"/>
        <v>F</v>
      </c>
    </row>
    <row r="29" spans="1:12" x14ac:dyDescent="0.3">
      <c r="A29" s="6" t="s">
        <v>77</v>
      </c>
      <c r="B29" s="6" t="s">
        <v>78</v>
      </c>
      <c r="C29" s="6" t="s">
        <v>51</v>
      </c>
      <c r="D29" s="3">
        <v>58</v>
      </c>
      <c r="E29" s="3">
        <v>55</v>
      </c>
      <c r="F29" s="3">
        <v>54</v>
      </c>
      <c r="G29" s="3">
        <v>68</v>
      </c>
      <c r="H29" s="3">
        <v>90</v>
      </c>
      <c r="I29" s="3">
        <v>61</v>
      </c>
      <c r="J29" s="3"/>
      <c r="K29" s="7"/>
      <c r="L29" s="3" t="str">
        <f t="shared" si="1"/>
        <v>F</v>
      </c>
    </row>
    <row r="30" spans="1:12" x14ac:dyDescent="0.3">
      <c r="A30" s="4" t="s">
        <v>79</v>
      </c>
      <c r="B30" s="4" t="s">
        <v>80</v>
      </c>
      <c r="C30" s="4" t="s">
        <v>51</v>
      </c>
      <c r="D30" s="2">
        <v>76</v>
      </c>
      <c r="E30" s="2">
        <v>78</v>
      </c>
      <c r="F30" s="2">
        <v>76</v>
      </c>
      <c r="G30" s="2">
        <v>61</v>
      </c>
      <c r="H30" s="2">
        <v>57</v>
      </c>
      <c r="I30" s="2">
        <v>54</v>
      </c>
      <c r="J30" s="2"/>
      <c r="K30" s="5"/>
      <c r="L30" s="2" t="str">
        <f t="shared" si="1"/>
        <v>F</v>
      </c>
    </row>
    <row r="31" spans="1:12" x14ac:dyDescent="0.3">
      <c r="A31" s="6" t="s">
        <v>81</v>
      </c>
      <c r="B31" s="6" t="s">
        <v>82</v>
      </c>
      <c r="C31" s="6" t="s">
        <v>51</v>
      </c>
      <c r="D31" s="3">
        <v>57</v>
      </c>
      <c r="E31" s="3">
        <v>74</v>
      </c>
      <c r="F31" s="3">
        <v>77</v>
      </c>
      <c r="G31" s="3">
        <v>68</v>
      </c>
      <c r="H31" s="3">
        <v>85</v>
      </c>
      <c r="I31" s="3">
        <v>81</v>
      </c>
      <c r="J31" s="3"/>
      <c r="K31" s="7"/>
      <c r="L31" s="3" t="str">
        <f t="shared" si="1"/>
        <v>F</v>
      </c>
    </row>
    <row r="32" spans="1:12" x14ac:dyDescent="0.3">
      <c r="A32" s="4" t="s">
        <v>83</v>
      </c>
      <c r="B32" s="4" t="s">
        <v>84</v>
      </c>
      <c r="C32" s="4" t="s">
        <v>51</v>
      </c>
      <c r="D32" s="2">
        <v>77</v>
      </c>
      <c r="E32" s="2">
        <v>59</v>
      </c>
      <c r="F32" s="2">
        <v>68</v>
      </c>
      <c r="G32" s="2">
        <v>68</v>
      </c>
      <c r="H32" s="2">
        <v>67</v>
      </c>
      <c r="I32" s="2">
        <v>87</v>
      </c>
      <c r="J32" s="2"/>
      <c r="K32" s="5"/>
      <c r="L32" s="2" t="str">
        <f t="shared" si="1"/>
        <v>F</v>
      </c>
    </row>
    <row r="33" spans="1:12" x14ac:dyDescent="0.3">
      <c r="A33" s="6" t="s">
        <v>85</v>
      </c>
      <c r="B33" s="6" t="s">
        <v>86</v>
      </c>
      <c r="C33" s="6" t="s">
        <v>51</v>
      </c>
      <c r="D33" s="3">
        <v>42</v>
      </c>
      <c r="E33" s="3">
        <v>72</v>
      </c>
      <c r="F33" s="3">
        <v>41</v>
      </c>
      <c r="G33" s="3">
        <v>59</v>
      </c>
      <c r="H33" s="3">
        <v>65</v>
      </c>
      <c r="I33" s="3">
        <v>52</v>
      </c>
      <c r="J33" s="3"/>
      <c r="K33" s="7"/>
      <c r="L33" s="3" t="str">
        <f t="shared" si="1"/>
        <v>F</v>
      </c>
    </row>
    <row r="34" spans="1:12" x14ac:dyDescent="0.3">
      <c r="A34" s="4" t="s">
        <v>87</v>
      </c>
      <c r="B34" s="4" t="s">
        <v>88</v>
      </c>
      <c r="C34" s="4" t="s">
        <v>51</v>
      </c>
      <c r="D34" s="2">
        <v>81</v>
      </c>
      <c r="E34" s="2">
        <v>71</v>
      </c>
      <c r="F34" s="2">
        <v>76</v>
      </c>
      <c r="G34" s="2">
        <v>68</v>
      </c>
      <c r="H34" s="2">
        <v>44</v>
      </c>
      <c r="I34" s="2">
        <v>41</v>
      </c>
      <c r="J34" s="2"/>
      <c r="K34" s="5"/>
      <c r="L34" s="2" t="str">
        <f t="shared" si="1"/>
        <v>F</v>
      </c>
    </row>
    <row r="35" spans="1:12" x14ac:dyDescent="0.3">
      <c r="A35" s="6" t="s">
        <v>89</v>
      </c>
      <c r="B35" s="6" t="s">
        <v>90</v>
      </c>
      <c r="C35" s="6" t="s">
        <v>51</v>
      </c>
      <c r="D35" s="3">
        <v>73</v>
      </c>
      <c r="E35" s="3">
        <v>58</v>
      </c>
      <c r="F35" s="3">
        <v>68</v>
      </c>
      <c r="G35" s="3">
        <v>59</v>
      </c>
      <c r="H35" s="3">
        <v>91</v>
      </c>
      <c r="I35" s="3">
        <v>83</v>
      </c>
      <c r="J35" s="3"/>
      <c r="K35" s="7"/>
      <c r="L35" s="3" t="str">
        <f t="shared" si="1"/>
        <v>F</v>
      </c>
    </row>
    <row r="36" spans="1:12" x14ac:dyDescent="0.3">
      <c r="A36" s="4" t="s">
        <v>91</v>
      </c>
      <c r="B36" s="4" t="s">
        <v>92</v>
      </c>
      <c r="C36" s="4" t="s">
        <v>51</v>
      </c>
      <c r="D36" s="2">
        <v>42</v>
      </c>
      <c r="E36" s="2">
        <v>69</v>
      </c>
      <c r="F36" s="2">
        <v>78</v>
      </c>
      <c r="G36" s="2">
        <v>86</v>
      </c>
      <c r="H36" s="2">
        <v>89</v>
      </c>
      <c r="I36" s="2">
        <v>54</v>
      </c>
      <c r="J36" s="2"/>
      <c r="K36" s="5"/>
      <c r="L36" s="2" t="str">
        <f t="shared" si="1"/>
        <v>F</v>
      </c>
    </row>
    <row r="37" spans="1:12" x14ac:dyDescent="0.3">
      <c r="A37" s="6" t="s">
        <v>93</v>
      </c>
      <c r="B37" s="6" t="s">
        <v>94</v>
      </c>
      <c r="C37" s="6" t="s">
        <v>51</v>
      </c>
      <c r="D37" s="3">
        <v>42</v>
      </c>
      <c r="E37" s="3">
        <v>93</v>
      </c>
      <c r="F37" s="3">
        <v>79</v>
      </c>
      <c r="G37" s="3">
        <v>87</v>
      </c>
      <c r="H37" s="3">
        <v>67</v>
      </c>
      <c r="I37" s="3">
        <v>72</v>
      </c>
      <c r="J37" s="3"/>
      <c r="K37" s="7"/>
      <c r="L37" s="3" t="str">
        <f t="shared" si="1"/>
        <v>F</v>
      </c>
    </row>
    <row r="38" spans="1:12" x14ac:dyDescent="0.3">
      <c r="A38" s="4" t="s">
        <v>95</v>
      </c>
      <c r="B38" s="4" t="s">
        <v>96</v>
      </c>
      <c r="C38" s="4" t="s">
        <v>51</v>
      </c>
      <c r="D38" s="2">
        <v>73</v>
      </c>
      <c r="E38" s="2">
        <v>76</v>
      </c>
      <c r="F38" s="2">
        <v>79</v>
      </c>
      <c r="G38" s="2">
        <v>83</v>
      </c>
      <c r="H38" s="2">
        <v>89</v>
      </c>
      <c r="I38" s="2">
        <v>48</v>
      </c>
      <c r="J38" s="2"/>
      <c r="K38" s="5"/>
      <c r="L38" s="2" t="str">
        <f t="shared" si="1"/>
        <v>F</v>
      </c>
    </row>
    <row r="39" spans="1:12" x14ac:dyDescent="0.3">
      <c r="A39" s="6" t="s">
        <v>97</v>
      </c>
      <c r="B39" s="6" t="s">
        <v>98</v>
      </c>
      <c r="C39" s="6" t="s">
        <v>51</v>
      </c>
      <c r="D39" s="3">
        <v>59</v>
      </c>
      <c r="E39" s="3">
        <v>54</v>
      </c>
      <c r="F39" s="3">
        <v>42</v>
      </c>
      <c r="G39" s="3">
        <v>61</v>
      </c>
      <c r="H39" s="3">
        <v>50</v>
      </c>
      <c r="I39" s="3">
        <v>57</v>
      </c>
      <c r="J39" s="3"/>
      <c r="K39" s="7"/>
      <c r="L39" s="3" t="str">
        <f t="shared" si="1"/>
        <v>F</v>
      </c>
    </row>
    <row r="40" spans="1:12" x14ac:dyDescent="0.3">
      <c r="A40" s="4" t="s">
        <v>99</v>
      </c>
      <c r="B40" s="4" t="s">
        <v>100</v>
      </c>
      <c r="C40" s="4" t="s">
        <v>51</v>
      </c>
      <c r="D40" s="2">
        <v>52</v>
      </c>
      <c r="E40" s="2">
        <v>52</v>
      </c>
      <c r="F40" s="2">
        <v>74</v>
      </c>
      <c r="G40" s="2">
        <v>75</v>
      </c>
      <c r="H40" s="2">
        <v>69</v>
      </c>
      <c r="I40" s="2">
        <v>70</v>
      </c>
      <c r="J40" s="2"/>
      <c r="K40" s="5"/>
      <c r="L40" s="2" t="str">
        <f t="shared" si="1"/>
        <v>F</v>
      </c>
    </row>
    <row r="41" spans="1:12" x14ac:dyDescent="0.3">
      <c r="A41" s="6" t="s">
        <v>101</v>
      </c>
      <c r="B41" s="6" t="s">
        <v>102</v>
      </c>
      <c r="C41" s="6" t="s">
        <v>51</v>
      </c>
      <c r="D41" s="3">
        <v>81</v>
      </c>
      <c r="E41" s="3">
        <v>67</v>
      </c>
      <c r="F41" s="3">
        <v>73</v>
      </c>
      <c r="G41" s="3">
        <v>75</v>
      </c>
      <c r="H41" s="3">
        <v>70</v>
      </c>
      <c r="I41" s="3">
        <v>76</v>
      </c>
      <c r="J41" s="3"/>
      <c r="K41" s="7"/>
      <c r="L41" s="3" t="str">
        <f t="shared" si="1"/>
        <v>F</v>
      </c>
    </row>
    <row r="42" spans="1:12" x14ac:dyDescent="0.3">
      <c r="A42" s="4" t="s">
        <v>103</v>
      </c>
      <c r="B42" s="4" t="s">
        <v>104</v>
      </c>
      <c r="C42" s="4" t="s">
        <v>51</v>
      </c>
      <c r="D42" s="2">
        <v>78</v>
      </c>
      <c r="E42" s="2">
        <v>65</v>
      </c>
      <c r="F42" s="2">
        <v>66</v>
      </c>
      <c r="G42" s="2">
        <v>89</v>
      </c>
      <c r="H42" s="2">
        <v>69</v>
      </c>
      <c r="I42" s="2">
        <v>75</v>
      </c>
      <c r="J42" s="2"/>
      <c r="K42" s="5"/>
      <c r="L42" s="2" t="str">
        <f t="shared" si="1"/>
        <v>F</v>
      </c>
    </row>
    <row r="43" spans="1:12" x14ac:dyDescent="0.3">
      <c r="A43" s="6" t="s">
        <v>105</v>
      </c>
      <c r="B43" s="6" t="s">
        <v>106</v>
      </c>
      <c r="C43" s="6" t="s">
        <v>51</v>
      </c>
      <c r="D43" s="3">
        <v>40</v>
      </c>
      <c r="E43" s="3">
        <v>67</v>
      </c>
      <c r="F43" s="3">
        <v>73</v>
      </c>
      <c r="G43" s="3">
        <v>78</v>
      </c>
      <c r="H43" s="3">
        <v>76</v>
      </c>
      <c r="I43" s="3">
        <v>44</v>
      </c>
      <c r="J43" s="3"/>
      <c r="K43" s="7"/>
      <c r="L43" s="3" t="str">
        <f t="shared" si="1"/>
        <v>F</v>
      </c>
    </row>
    <row r="44" spans="1:12" x14ac:dyDescent="0.3">
      <c r="A44" s="4" t="s">
        <v>107</v>
      </c>
      <c r="B44" s="4" t="s">
        <v>108</v>
      </c>
      <c r="C44" s="4" t="s">
        <v>51</v>
      </c>
      <c r="D44" s="2">
        <v>46</v>
      </c>
      <c r="E44" s="2">
        <v>78</v>
      </c>
      <c r="F44" s="2">
        <v>84</v>
      </c>
      <c r="G44" s="2">
        <v>67</v>
      </c>
      <c r="H44" s="2">
        <v>62</v>
      </c>
      <c r="I44" s="2">
        <v>46</v>
      </c>
      <c r="J44" s="2"/>
      <c r="K44" s="5"/>
      <c r="L44" s="2" t="str">
        <f t="shared" si="1"/>
        <v>F</v>
      </c>
    </row>
    <row r="45" spans="1:12" x14ac:dyDescent="0.3">
      <c r="A45" s="6" t="s">
        <v>109</v>
      </c>
      <c r="B45" s="6" t="s">
        <v>110</v>
      </c>
      <c r="C45" s="6" t="s">
        <v>51</v>
      </c>
      <c r="D45" s="3">
        <v>56</v>
      </c>
      <c r="E45" s="3">
        <v>85</v>
      </c>
      <c r="F45" s="3">
        <v>54</v>
      </c>
      <c r="G45" s="3">
        <v>50</v>
      </c>
      <c r="H45" s="3">
        <v>64</v>
      </c>
      <c r="I45" s="3">
        <v>75</v>
      </c>
      <c r="J45" s="3"/>
      <c r="K45" s="7"/>
      <c r="L45" s="3" t="str">
        <f t="shared" si="1"/>
        <v>F</v>
      </c>
    </row>
    <row r="48" spans="1:12" ht="18" customHeight="1" x14ac:dyDescent="0.3">
      <c r="A48" s="31" t="s">
        <v>111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3" x14ac:dyDescent="0.3">
      <c r="A49" s="30" t="s">
        <v>112</v>
      </c>
      <c r="B49" s="8">
        <f>SUM(J6:J45)</f>
        <v>438</v>
      </c>
      <c r="C49" s="9">
        <f>SUM(J6:J45)</f>
        <v>438</v>
      </c>
    </row>
    <row r="50" spans="1:3" x14ac:dyDescent="0.3">
      <c r="A50" s="30" t="s">
        <v>113</v>
      </c>
      <c r="B50" s="8">
        <f>AVERAGE(K6:K45)</f>
        <v>73</v>
      </c>
      <c r="C50" s="9">
        <f>AVERAGE(K6:K45)</f>
        <v>73</v>
      </c>
    </row>
    <row r="51" spans="1:3" x14ac:dyDescent="0.3">
      <c r="A51" s="30" t="s">
        <v>114</v>
      </c>
      <c r="B51" s="8">
        <f>MIN(D6:D45)</f>
        <v>40</v>
      </c>
      <c r="C51" s="9">
        <f>MIN(D6:D45)</f>
        <v>40</v>
      </c>
    </row>
    <row r="52" spans="1:3" x14ac:dyDescent="0.3">
      <c r="A52" s="30" t="s">
        <v>115</v>
      </c>
      <c r="B52" s="8">
        <f>MAX(D6:D45)</f>
        <v>95</v>
      </c>
      <c r="C52" s="9">
        <f>MAX(D6:D45)</f>
        <v>95</v>
      </c>
    </row>
    <row r="53" spans="1:3" x14ac:dyDescent="0.3">
      <c r="A53" s="30" t="s">
        <v>116</v>
      </c>
      <c r="B53" s="8">
        <f>COUNT(D6:D45)</f>
        <v>40</v>
      </c>
      <c r="C53" s="9">
        <f>COUNT(D6:D45)</f>
        <v>40</v>
      </c>
    </row>
    <row r="54" spans="1:3" x14ac:dyDescent="0.3">
      <c r="A54" s="30" t="s">
        <v>117</v>
      </c>
      <c r="B54" s="8">
        <f>COUNTA(B6:B45)</f>
        <v>40</v>
      </c>
      <c r="C54" s="9">
        <f>COUNTA(B6:B45)</f>
        <v>40</v>
      </c>
    </row>
  </sheetData>
  <mergeCells count="10">
    <mergeCell ref="A2:L2"/>
    <mergeCell ref="A50"/>
    <mergeCell ref="A53"/>
    <mergeCell ref="A1:L1"/>
    <mergeCell ref="A54"/>
    <mergeCell ref="A49"/>
    <mergeCell ref="A51"/>
    <mergeCell ref="A52"/>
    <mergeCell ref="A3:L3"/>
    <mergeCell ref="A48:L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workbookViewId="0">
      <pane ySplit="5" topLeftCell="A6" activePane="bottomLeft" state="frozen"/>
      <selection pane="bottomLeft" activeCell="J6" sqref="J6"/>
    </sheetView>
  </sheetViews>
  <sheetFormatPr defaultRowHeight="14.4" x14ac:dyDescent="0.3"/>
  <cols>
    <col min="1" max="1" width="13" customWidth="1"/>
    <col min="2" max="2" width="28" customWidth="1"/>
    <col min="3" max="3" width="16" customWidth="1"/>
    <col min="4" max="7" width="12" customWidth="1"/>
    <col min="8" max="8" width="14" customWidth="1"/>
    <col min="9" max="9" width="10" customWidth="1"/>
    <col min="10" max="10" width="16" customWidth="1"/>
  </cols>
  <sheetData>
    <row r="1" spans="1:12" ht="25.95" customHeight="1" x14ac:dyDescent="0.3">
      <c r="A1" s="26" t="s">
        <v>118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3.95" customHeight="1" x14ac:dyDescent="0.3">
      <c r="A2" s="29" t="s">
        <v>186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6.05" customHeight="1" x14ac:dyDescent="0.3">
      <c r="A3" s="28" t="s">
        <v>119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5" spans="1:12" ht="19.95" customHeight="1" x14ac:dyDescent="0.3">
      <c r="A5" s="1" t="s">
        <v>3</v>
      </c>
      <c r="B5" s="1" t="s">
        <v>39</v>
      </c>
      <c r="C5" s="1" t="s">
        <v>40</v>
      </c>
      <c r="D5" s="1" t="s">
        <v>120</v>
      </c>
      <c r="E5" s="1" t="s">
        <v>121</v>
      </c>
      <c r="F5" s="1" t="s">
        <v>122</v>
      </c>
      <c r="G5" s="1" t="s">
        <v>48</v>
      </c>
      <c r="H5" s="1" t="s">
        <v>123</v>
      </c>
      <c r="I5" s="1" t="s">
        <v>124</v>
      </c>
      <c r="J5" s="1" t="s">
        <v>125</v>
      </c>
    </row>
    <row r="6" spans="1:12" x14ac:dyDescent="0.3">
      <c r="A6" s="4" t="s">
        <v>16</v>
      </c>
      <c r="B6" s="4" t="s">
        <v>50</v>
      </c>
      <c r="C6" s="4" t="s">
        <v>51</v>
      </c>
      <c r="D6" s="2">
        <v>80</v>
      </c>
      <c r="E6" s="2">
        <v>85</v>
      </c>
      <c r="F6" s="2">
        <v>50</v>
      </c>
      <c r="G6" s="5"/>
      <c r="H6" s="2" t="str">
        <f t="shared" ref="H6:H45" si="0">IF(G6&gt;=50,"Lulus","Gagal")</f>
        <v>Gagal</v>
      </c>
      <c r="I6" s="2" t="str">
        <f t="shared" ref="I6:I45" si="1">IF(G6&gt;=80,"A",IF(G6&gt;=70,"B",IF(G6&gt;=60,"C",IF(G6&gt;=50,"D","F"))))</f>
        <v>F</v>
      </c>
      <c r="J6" s="2" t="str" cm="1">
        <f t="array" ref="J6">_xlfn.IFS(G6&gt;=85,"Cemerlang",G6&gt;=70,"Baik",G6&gt;=50,"Sederhana",TRUE,"Lemah")</f>
        <v>Lemah</v>
      </c>
    </row>
    <row r="7" spans="1:12" x14ac:dyDescent="0.3">
      <c r="A7" s="6" t="s">
        <v>17</v>
      </c>
      <c r="B7" s="6" t="s">
        <v>52</v>
      </c>
      <c r="C7" s="6" t="s">
        <v>51</v>
      </c>
      <c r="D7" s="3">
        <v>47</v>
      </c>
      <c r="E7" s="3">
        <v>43</v>
      </c>
      <c r="F7" s="3">
        <v>82</v>
      </c>
      <c r="G7" s="7"/>
      <c r="H7" s="3"/>
      <c r="I7" s="3"/>
      <c r="J7" s="2"/>
    </row>
    <row r="8" spans="1:12" x14ac:dyDescent="0.3">
      <c r="A8" s="4" t="s">
        <v>18</v>
      </c>
      <c r="B8" s="4" t="s">
        <v>53</v>
      </c>
      <c r="C8" s="4" t="s">
        <v>51</v>
      </c>
      <c r="D8" s="2">
        <v>76</v>
      </c>
      <c r="E8" s="2">
        <v>53</v>
      </c>
      <c r="F8" s="2">
        <v>70</v>
      </c>
      <c r="G8" s="5"/>
      <c r="H8" s="2"/>
      <c r="I8" s="2"/>
      <c r="J8" s="2"/>
    </row>
    <row r="9" spans="1:12" x14ac:dyDescent="0.3">
      <c r="A9" s="6" t="s">
        <v>19</v>
      </c>
      <c r="B9" s="6" t="s">
        <v>54</v>
      </c>
      <c r="C9" s="6" t="s">
        <v>51</v>
      </c>
      <c r="D9" s="3">
        <v>77</v>
      </c>
      <c r="E9" s="3">
        <v>65</v>
      </c>
      <c r="F9" s="3">
        <v>66</v>
      </c>
      <c r="G9" s="7"/>
      <c r="H9" s="3"/>
      <c r="I9" s="3"/>
      <c r="J9" s="2"/>
    </row>
    <row r="10" spans="1:12" x14ac:dyDescent="0.3">
      <c r="A10" s="4" t="s">
        <v>20</v>
      </c>
      <c r="B10" s="4" t="s">
        <v>55</v>
      </c>
      <c r="C10" s="4" t="s">
        <v>51</v>
      </c>
      <c r="D10" s="2">
        <v>79</v>
      </c>
      <c r="E10" s="2">
        <v>71</v>
      </c>
      <c r="F10" s="2">
        <v>49</v>
      </c>
      <c r="G10" s="5"/>
      <c r="H10" s="2"/>
      <c r="I10" s="2"/>
      <c r="J10" s="2"/>
    </row>
    <row r="11" spans="1:12" x14ac:dyDescent="0.3">
      <c r="A11" s="6" t="s">
        <v>21</v>
      </c>
      <c r="B11" s="6" t="s">
        <v>56</v>
      </c>
      <c r="C11" s="6" t="s">
        <v>51</v>
      </c>
      <c r="D11" s="3">
        <v>90</v>
      </c>
      <c r="E11" s="3">
        <v>79</v>
      </c>
      <c r="F11" s="3">
        <v>69</v>
      </c>
      <c r="G11" s="7"/>
      <c r="H11" s="3"/>
      <c r="I11" s="3"/>
      <c r="J11" s="2"/>
    </row>
    <row r="12" spans="1:12" x14ac:dyDescent="0.3">
      <c r="A12" s="4" t="s">
        <v>22</v>
      </c>
      <c r="B12" s="4" t="s">
        <v>57</v>
      </c>
      <c r="C12" s="4" t="s">
        <v>51</v>
      </c>
      <c r="D12" s="2">
        <v>67</v>
      </c>
      <c r="E12" s="2">
        <v>53</v>
      </c>
      <c r="F12" s="2">
        <v>49</v>
      </c>
      <c r="G12" s="5"/>
      <c r="H12" s="2"/>
      <c r="I12" s="2"/>
      <c r="J12" s="2"/>
    </row>
    <row r="13" spans="1:12" x14ac:dyDescent="0.3">
      <c r="A13" s="6" t="s">
        <v>23</v>
      </c>
      <c r="B13" s="6" t="s">
        <v>58</v>
      </c>
      <c r="C13" s="6" t="s">
        <v>51</v>
      </c>
      <c r="D13" s="3">
        <v>68</v>
      </c>
      <c r="E13" s="3">
        <v>44</v>
      </c>
      <c r="F13" s="3">
        <v>46</v>
      </c>
      <c r="G13" s="7"/>
      <c r="H13" s="3"/>
      <c r="I13" s="3"/>
      <c r="J13" s="2"/>
    </row>
    <row r="14" spans="1:12" x14ac:dyDescent="0.3">
      <c r="A14" s="4" t="s">
        <v>24</v>
      </c>
      <c r="B14" s="4" t="s">
        <v>59</v>
      </c>
      <c r="C14" s="4" t="s">
        <v>51</v>
      </c>
      <c r="D14" s="2">
        <v>67</v>
      </c>
      <c r="E14" s="2">
        <v>79</v>
      </c>
      <c r="F14" s="2">
        <v>77</v>
      </c>
      <c r="G14" s="5"/>
      <c r="H14" s="2"/>
      <c r="I14" s="2"/>
      <c r="J14" s="2"/>
    </row>
    <row r="15" spans="1:12" x14ac:dyDescent="0.3">
      <c r="A15" s="6" t="s">
        <v>25</v>
      </c>
      <c r="B15" s="6" t="s">
        <v>60</v>
      </c>
      <c r="C15" s="6" t="s">
        <v>51</v>
      </c>
      <c r="D15" s="3">
        <v>74</v>
      </c>
      <c r="E15" s="3">
        <v>75</v>
      </c>
      <c r="F15" s="3">
        <v>69</v>
      </c>
      <c r="G15" s="7"/>
      <c r="H15" s="3"/>
      <c r="I15" s="3"/>
      <c r="J15" s="2"/>
    </row>
    <row r="16" spans="1:12" x14ac:dyDescent="0.3">
      <c r="A16" s="4" t="s">
        <v>26</v>
      </c>
      <c r="B16" s="4" t="s">
        <v>61</v>
      </c>
      <c r="C16" s="4" t="s">
        <v>51</v>
      </c>
      <c r="D16" s="2">
        <v>57</v>
      </c>
      <c r="E16" s="2">
        <v>91</v>
      </c>
      <c r="F16" s="2">
        <v>62</v>
      </c>
      <c r="G16" s="5"/>
      <c r="H16" s="2"/>
      <c r="I16" s="2"/>
      <c r="J16" s="2"/>
    </row>
    <row r="17" spans="1:10" x14ac:dyDescent="0.3">
      <c r="A17" s="6" t="s">
        <v>27</v>
      </c>
      <c r="B17" s="6" t="s">
        <v>62</v>
      </c>
      <c r="C17" s="6" t="s">
        <v>51</v>
      </c>
      <c r="D17" s="3">
        <v>77</v>
      </c>
      <c r="E17" s="3">
        <v>40</v>
      </c>
      <c r="F17" s="3">
        <v>55</v>
      </c>
      <c r="G17" s="7"/>
      <c r="H17" s="3"/>
      <c r="I17" s="3"/>
      <c r="J17" s="2"/>
    </row>
    <row r="18" spans="1:10" x14ac:dyDescent="0.3">
      <c r="A18" s="4" t="s">
        <v>28</v>
      </c>
      <c r="B18" s="4" t="s">
        <v>63</v>
      </c>
      <c r="C18" s="4" t="s">
        <v>51</v>
      </c>
      <c r="D18" s="2">
        <v>83</v>
      </c>
      <c r="E18" s="2">
        <v>68</v>
      </c>
      <c r="F18" s="2">
        <v>53</v>
      </c>
      <c r="G18" s="5"/>
      <c r="H18" s="2"/>
      <c r="I18" s="2"/>
      <c r="J18" s="2"/>
    </row>
    <row r="19" spans="1:10" x14ac:dyDescent="0.3">
      <c r="A19" s="6" t="s">
        <v>29</v>
      </c>
      <c r="B19" s="6" t="s">
        <v>64</v>
      </c>
      <c r="C19" s="6" t="s">
        <v>51</v>
      </c>
      <c r="D19" s="3">
        <v>63</v>
      </c>
      <c r="E19" s="3">
        <v>92</v>
      </c>
      <c r="F19" s="3">
        <v>60</v>
      </c>
      <c r="G19" s="7"/>
      <c r="H19" s="3"/>
      <c r="I19" s="3"/>
      <c r="J19" s="2"/>
    </row>
    <row r="20" spans="1:10" x14ac:dyDescent="0.3">
      <c r="A20" s="4" t="s">
        <v>30</v>
      </c>
      <c r="B20" s="4" t="s">
        <v>65</v>
      </c>
      <c r="C20" s="4" t="s">
        <v>51</v>
      </c>
      <c r="D20" s="2">
        <v>57</v>
      </c>
      <c r="E20" s="2">
        <v>47</v>
      </c>
      <c r="F20" s="2">
        <v>89</v>
      </c>
      <c r="G20" s="5"/>
      <c r="H20" s="2"/>
      <c r="I20" s="2"/>
      <c r="J20" s="2"/>
    </row>
    <row r="21" spans="1:10" x14ac:dyDescent="0.3">
      <c r="A21" s="6" t="s">
        <v>31</v>
      </c>
      <c r="B21" s="6" t="s">
        <v>66</v>
      </c>
      <c r="C21" s="6" t="s">
        <v>51</v>
      </c>
      <c r="D21" s="3">
        <v>62</v>
      </c>
      <c r="E21" s="3">
        <v>58</v>
      </c>
      <c r="F21" s="3">
        <v>73</v>
      </c>
      <c r="G21" s="7"/>
      <c r="H21" s="3"/>
      <c r="I21" s="3"/>
      <c r="J21" s="2"/>
    </row>
    <row r="22" spans="1:10" x14ac:dyDescent="0.3">
      <c r="A22" s="4" t="s">
        <v>32</v>
      </c>
      <c r="B22" s="4" t="s">
        <v>67</v>
      </c>
      <c r="C22" s="4" t="s">
        <v>51</v>
      </c>
      <c r="D22" s="2">
        <v>54</v>
      </c>
      <c r="E22" s="2">
        <v>59</v>
      </c>
      <c r="F22" s="2">
        <v>76</v>
      </c>
      <c r="G22" s="5"/>
      <c r="H22" s="2"/>
      <c r="I22" s="2"/>
      <c r="J22" s="2"/>
    </row>
    <row r="23" spans="1:10" x14ac:dyDescent="0.3">
      <c r="A23" s="6" t="s">
        <v>33</v>
      </c>
      <c r="B23" s="6" t="s">
        <v>68</v>
      </c>
      <c r="C23" s="6" t="s">
        <v>51</v>
      </c>
      <c r="D23" s="3">
        <v>71</v>
      </c>
      <c r="E23" s="3">
        <v>81</v>
      </c>
      <c r="F23" s="3">
        <v>74</v>
      </c>
      <c r="G23" s="7"/>
      <c r="H23" s="3"/>
      <c r="I23" s="3"/>
      <c r="J23" s="2"/>
    </row>
    <row r="24" spans="1:10" x14ac:dyDescent="0.3">
      <c r="A24" s="4" t="s">
        <v>34</v>
      </c>
      <c r="B24" s="4" t="s">
        <v>69</v>
      </c>
      <c r="C24" s="4" t="s">
        <v>51</v>
      </c>
      <c r="D24" s="2">
        <v>95</v>
      </c>
      <c r="E24" s="2">
        <v>80</v>
      </c>
      <c r="F24" s="2">
        <v>53</v>
      </c>
      <c r="G24" s="5"/>
      <c r="H24" s="2"/>
      <c r="I24" s="2"/>
      <c r="J24" s="2"/>
    </row>
    <row r="25" spans="1:10" x14ac:dyDescent="0.3">
      <c r="A25" s="6" t="s">
        <v>35</v>
      </c>
      <c r="B25" s="6" t="s">
        <v>70</v>
      </c>
      <c r="C25" s="6" t="s">
        <v>51</v>
      </c>
      <c r="D25" s="3">
        <v>58</v>
      </c>
      <c r="E25" s="3">
        <v>65</v>
      </c>
      <c r="F25" s="3">
        <v>87</v>
      </c>
      <c r="G25" s="7"/>
      <c r="H25" s="3"/>
      <c r="I25" s="3"/>
      <c r="J25" s="2"/>
    </row>
    <row r="26" spans="1:10" x14ac:dyDescent="0.3">
      <c r="A26" s="4" t="s">
        <v>71</v>
      </c>
      <c r="B26" s="4" t="s">
        <v>72</v>
      </c>
      <c r="C26" s="4" t="s">
        <v>51</v>
      </c>
      <c r="D26" s="2">
        <v>75</v>
      </c>
      <c r="E26" s="2">
        <v>94</v>
      </c>
      <c r="F26" s="2">
        <v>53</v>
      </c>
      <c r="G26" s="5"/>
      <c r="H26" s="2"/>
      <c r="I26" s="2"/>
      <c r="J26" s="2"/>
    </row>
    <row r="27" spans="1:10" x14ac:dyDescent="0.3">
      <c r="A27" s="6" t="s">
        <v>73</v>
      </c>
      <c r="B27" s="6" t="s">
        <v>74</v>
      </c>
      <c r="C27" s="6" t="s">
        <v>51</v>
      </c>
      <c r="D27" s="3">
        <v>55</v>
      </c>
      <c r="E27" s="3">
        <v>67</v>
      </c>
      <c r="F27" s="3">
        <v>69</v>
      </c>
      <c r="G27" s="7"/>
      <c r="H27" s="3"/>
      <c r="I27" s="3"/>
      <c r="J27" s="2"/>
    </row>
    <row r="28" spans="1:10" x14ac:dyDescent="0.3">
      <c r="A28" s="4" t="s">
        <v>75</v>
      </c>
      <c r="B28" s="4" t="s">
        <v>76</v>
      </c>
      <c r="C28" s="4" t="s">
        <v>51</v>
      </c>
      <c r="D28" s="2">
        <v>72</v>
      </c>
      <c r="E28" s="2">
        <v>89</v>
      </c>
      <c r="F28" s="2">
        <v>68</v>
      </c>
      <c r="G28" s="5"/>
      <c r="H28" s="2"/>
      <c r="I28" s="2"/>
      <c r="J28" s="2"/>
    </row>
    <row r="29" spans="1:10" x14ac:dyDescent="0.3">
      <c r="A29" s="6" t="s">
        <v>77</v>
      </c>
      <c r="B29" s="6" t="s">
        <v>78</v>
      </c>
      <c r="C29" s="6" t="s">
        <v>51</v>
      </c>
      <c r="D29" s="3">
        <v>58</v>
      </c>
      <c r="E29" s="3">
        <v>90</v>
      </c>
      <c r="F29" s="3">
        <v>61</v>
      </c>
      <c r="G29" s="7"/>
      <c r="H29" s="3"/>
      <c r="I29" s="3"/>
      <c r="J29" s="2"/>
    </row>
    <row r="30" spans="1:10" x14ac:dyDescent="0.3">
      <c r="A30" s="4" t="s">
        <v>79</v>
      </c>
      <c r="B30" s="4" t="s">
        <v>80</v>
      </c>
      <c r="C30" s="4" t="s">
        <v>51</v>
      </c>
      <c r="D30" s="2">
        <v>76</v>
      </c>
      <c r="E30" s="2">
        <v>57</v>
      </c>
      <c r="F30" s="2">
        <v>54</v>
      </c>
      <c r="G30" s="5"/>
      <c r="H30" s="2"/>
      <c r="I30" s="2"/>
      <c r="J30" s="2"/>
    </row>
    <row r="31" spans="1:10" x14ac:dyDescent="0.3">
      <c r="A31" s="6" t="s">
        <v>81</v>
      </c>
      <c r="B31" s="6" t="s">
        <v>82</v>
      </c>
      <c r="C31" s="6" t="s">
        <v>51</v>
      </c>
      <c r="D31" s="3">
        <v>57</v>
      </c>
      <c r="E31" s="3">
        <v>85</v>
      </c>
      <c r="F31" s="3">
        <v>81</v>
      </c>
      <c r="G31" s="7"/>
      <c r="H31" s="3"/>
      <c r="I31" s="3"/>
      <c r="J31" s="2"/>
    </row>
    <row r="32" spans="1:10" x14ac:dyDescent="0.3">
      <c r="A32" s="4" t="s">
        <v>83</v>
      </c>
      <c r="B32" s="4" t="s">
        <v>84</v>
      </c>
      <c r="C32" s="4" t="s">
        <v>51</v>
      </c>
      <c r="D32" s="2">
        <v>77</v>
      </c>
      <c r="E32" s="2">
        <v>67</v>
      </c>
      <c r="F32" s="2">
        <v>87</v>
      </c>
      <c r="G32" s="5"/>
      <c r="H32" s="2"/>
      <c r="I32" s="2"/>
      <c r="J32" s="2"/>
    </row>
    <row r="33" spans="1:10" x14ac:dyDescent="0.3">
      <c r="A33" s="6" t="s">
        <v>85</v>
      </c>
      <c r="B33" s="6" t="s">
        <v>86</v>
      </c>
      <c r="C33" s="6" t="s">
        <v>51</v>
      </c>
      <c r="D33" s="3">
        <v>42</v>
      </c>
      <c r="E33" s="3">
        <v>65</v>
      </c>
      <c r="F33" s="3">
        <v>52</v>
      </c>
      <c r="G33" s="7"/>
      <c r="H33" s="3"/>
      <c r="I33" s="3"/>
      <c r="J33" s="2"/>
    </row>
    <row r="34" spans="1:10" x14ac:dyDescent="0.3">
      <c r="A34" s="4" t="s">
        <v>87</v>
      </c>
      <c r="B34" s="4" t="s">
        <v>88</v>
      </c>
      <c r="C34" s="4" t="s">
        <v>51</v>
      </c>
      <c r="D34" s="2">
        <v>81</v>
      </c>
      <c r="E34" s="2">
        <v>44</v>
      </c>
      <c r="F34" s="2">
        <v>41</v>
      </c>
      <c r="G34" s="5"/>
      <c r="H34" s="2"/>
      <c r="I34" s="2"/>
      <c r="J34" s="2"/>
    </row>
    <row r="35" spans="1:10" x14ac:dyDescent="0.3">
      <c r="A35" s="6" t="s">
        <v>89</v>
      </c>
      <c r="B35" s="6" t="s">
        <v>90</v>
      </c>
      <c r="C35" s="6" t="s">
        <v>51</v>
      </c>
      <c r="D35" s="3">
        <v>73</v>
      </c>
      <c r="E35" s="3">
        <v>91</v>
      </c>
      <c r="F35" s="3">
        <v>83</v>
      </c>
      <c r="G35" s="7"/>
      <c r="H35" s="3"/>
      <c r="I35" s="3"/>
      <c r="J35" s="2"/>
    </row>
    <row r="36" spans="1:10" x14ac:dyDescent="0.3">
      <c r="A36" s="4" t="s">
        <v>91</v>
      </c>
      <c r="B36" s="4" t="s">
        <v>92</v>
      </c>
      <c r="C36" s="4" t="s">
        <v>51</v>
      </c>
      <c r="D36" s="2">
        <v>42</v>
      </c>
      <c r="E36" s="2">
        <v>89</v>
      </c>
      <c r="F36" s="2">
        <v>54</v>
      </c>
      <c r="G36" s="5"/>
      <c r="H36" s="2"/>
      <c r="I36" s="2"/>
      <c r="J36" s="2"/>
    </row>
    <row r="37" spans="1:10" x14ac:dyDescent="0.3">
      <c r="A37" s="6" t="s">
        <v>93</v>
      </c>
      <c r="B37" s="6" t="s">
        <v>94</v>
      </c>
      <c r="C37" s="6" t="s">
        <v>51</v>
      </c>
      <c r="D37" s="3">
        <v>42</v>
      </c>
      <c r="E37" s="3">
        <v>67</v>
      </c>
      <c r="F37" s="3">
        <v>72</v>
      </c>
      <c r="G37" s="7"/>
      <c r="H37" s="3"/>
      <c r="I37" s="3"/>
      <c r="J37" s="2"/>
    </row>
    <row r="38" spans="1:10" x14ac:dyDescent="0.3">
      <c r="A38" s="4" t="s">
        <v>95</v>
      </c>
      <c r="B38" s="4" t="s">
        <v>96</v>
      </c>
      <c r="C38" s="4" t="s">
        <v>51</v>
      </c>
      <c r="D38" s="2">
        <v>73</v>
      </c>
      <c r="E38" s="2">
        <v>89</v>
      </c>
      <c r="F38" s="2">
        <v>48</v>
      </c>
      <c r="G38" s="5"/>
      <c r="H38" s="2"/>
      <c r="I38" s="2"/>
      <c r="J38" s="2"/>
    </row>
    <row r="39" spans="1:10" x14ac:dyDescent="0.3">
      <c r="A39" s="6" t="s">
        <v>97</v>
      </c>
      <c r="B39" s="6" t="s">
        <v>98</v>
      </c>
      <c r="C39" s="6" t="s">
        <v>51</v>
      </c>
      <c r="D39" s="3">
        <v>59</v>
      </c>
      <c r="E39" s="3">
        <v>50</v>
      </c>
      <c r="F39" s="3">
        <v>57</v>
      </c>
      <c r="G39" s="7"/>
      <c r="H39" s="3"/>
      <c r="I39" s="3"/>
      <c r="J39" s="2"/>
    </row>
    <row r="40" spans="1:10" x14ac:dyDescent="0.3">
      <c r="A40" s="4" t="s">
        <v>99</v>
      </c>
      <c r="B40" s="4" t="s">
        <v>100</v>
      </c>
      <c r="C40" s="4" t="s">
        <v>51</v>
      </c>
      <c r="D40" s="2">
        <v>52</v>
      </c>
      <c r="E40" s="2">
        <v>69</v>
      </c>
      <c r="F40" s="2">
        <v>70</v>
      </c>
      <c r="G40" s="5"/>
      <c r="H40" s="2"/>
      <c r="I40" s="2"/>
      <c r="J40" s="2"/>
    </row>
    <row r="41" spans="1:10" x14ac:dyDescent="0.3">
      <c r="A41" s="6" t="s">
        <v>101</v>
      </c>
      <c r="B41" s="6" t="s">
        <v>102</v>
      </c>
      <c r="C41" s="6" t="s">
        <v>51</v>
      </c>
      <c r="D41" s="3">
        <v>81</v>
      </c>
      <c r="E41" s="3">
        <v>70</v>
      </c>
      <c r="F41" s="3">
        <v>76</v>
      </c>
      <c r="G41" s="7"/>
      <c r="H41" s="3"/>
      <c r="I41" s="3"/>
      <c r="J41" s="2"/>
    </row>
    <row r="42" spans="1:10" x14ac:dyDescent="0.3">
      <c r="A42" s="4" t="s">
        <v>103</v>
      </c>
      <c r="B42" s="4" t="s">
        <v>104</v>
      </c>
      <c r="C42" s="4" t="s">
        <v>51</v>
      </c>
      <c r="D42" s="2">
        <v>78</v>
      </c>
      <c r="E42" s="2">
        <v>69</v>
      </c>
      <c r="F42" s="2">
        <v>75</v>
      </c>
      <c r="G42" s="5"/>
      <c r="H42" s="2"/>
      <c r="I42" s="2"/>
      <c r="J42" s="2"/>
    </row>
    <row r="43" spans="1:10" x14ac:dyDescent="0.3">
      <c r="A43" s="6" t="s">
        <v>105</v>
      </c>
      <c r="B43" s="6" t="s">
        <v>106</v>
      </c>
      <c r="C43" s="6" t="s">
        <v>51</v>
      </c>
      <c r="D43" s="3">
        <v>40</v>
      </c>
      <c r="E43" s="3">
        <v>76</v>
      </c>
      <c r="F43" s="3">
        <v>44</v>
      </c>
      <c r="G43" s="7"/>
      <c r="H43" s="3"/>
      <c r="I43" s="3"/>
      <c r="J43" s="2"/>
    </row>
    <row r="44" spans="1:10" x14ac:dyDescent="0.3">
      <c r="A44" s="4" t="s">
        <v>107</v>
      </c>
      <c r="B44" s="4" t="s">
        <v>108</v>
      </c>
      <c r="C44" s="4" t="s">
        <v>51</v>
      </c>
      <c r="D44" s="2">
        <v>46</v>
      </c>
      <c r="E44" s="2">
        <v>62</v>
      </c>
      <c r="F44" s="2">
        <v>46</v>
      </c>
      <c r="G44" s="5"/>
      <c r="H44" s="2"/>
      <c r="I44" s="2"/>
      <c r="J44" s="2"/>
    </row>
    <row r="45" spans="1:10" x14ac:dyDescent="0.3">
      <c r="A45" s="6" t="s">
        <v>109</v>
      </c>
      <c r="B45" s="6" t="s">
        <v>110</v>
      </c>
      <c r="C45" s="6" t="s">
        <v>51</v>
      </c>
      <c r="D45" s="3">
        <v>56</v>
      </c>
      <c r="E45" s="3">
        <v>64</v>
      </c>
      <c r="F45" s="3">
        <v>75</v>
      </c>
      <c r="G45" s="7"/>
      <c r="H45" s="3"/>
      <c r="I45" s="3"/>
      <c r="J45" s="2"/>
    </row>
    <row r="48" spans="1:10" ht="18" customHeight="1" x14ac:dyDescent="0.3">
      <c r="A48" s="31" t="s">
        <v>126</v>
      </c>
      <c r="B48" s="27"/>
      <c r="C48" s="27"/>
      <c r="D48" s="27"/>
      <c r="E48" s="27"/>
      <c r="F48" s="27"/>
      <c r="G48" s="27"/>
      <c r="H48" s="27"/>
      <c r="I48" s="27"/>
      <c r="J48" s="27"/>
    </row>
    <row r="49" spans="1:6" x14ac:dyDescent="0.3">
      <c r="A49" s="10" t="s">
        <v>127</v>
      </c>
      <c r="B49" s="11" t="s">
        <v>128</v>
      </c>
      <c r="C49" s="12"/>
      <c r="D49" s="13" t="s">
        <v>129</v>
      </c>
      <c r="E49" s="14">
        <f>COUNTIF(D6:D45,"&gt;=50")</f>
        <v>34</v>
      </c>
      <c r="F49" s="15">
        <f>COUNTIF(D6:D45,"&gt;=50")</f>
        <v>34</v>
      </c>
    </row>
    <row r="50" spans="1:6" x14ac:dyDescent="0.3">
      <c r="A50" s="16" t="s">
        <v>130</v>
      </c>
      <c r="B50" s="17" t="s">
        <v>131</v>
      </c>
      <c r="C50" s="18"/>
      <c r="D50" s="19" t="s">
        <v>129</v>
      </c>
      <c r="E50" s="20">
        <f>COUNTIF(E6:E45,"&gt;=80")</f>
        <v>12</v>
      </c>
      <c r="F50" s="21">
        <f>COUNTIF(E6:E45,"&gt;=80")</f>
        <v>12</v>
      </c>
    </row>
    <row r="51" spans="1:6" x14ac:dyDescent="0.3">
      <c r="A51" s="10" t="s">
        <v>132</v>
      </c>
      <c r="B51" s="11" t="s">
        <v>133</v>
      </c>
      <c r="C51" s="12"/>
      <c r="D51" s="13" t="s">
        <v>134</v>
      </c>
      <c r="E51" s="14">
        <f>SUM(D6:D45)</f>
        <v>2637</v>
      </c>
      <c r="F51" s="15">
        <f>SUM(D6:D45)</f>
        <v>2637</v>
      </c>
    </row>
    <row r="52" spans="1:6" x14ac:dyDescent="0.3">
      <c r="A52" s="16" t="s">
        <v>135</v>
      </c>
      <c r="B52" s="17" t="s">
        <v>136</v>
      </c>
      <c r="C52" s="18"/>
      <c r="D52" s="19" t="s">
        <v>137</v>
      </c>
      <c r="E52" s="20">
        <f>AVERAGE(F6:F45)</f>
        <v>64.375</v>
      </c>
      <c r="F52" s="21">
        <f>AVERAGE(F6:F45)</f>
        <v>64.375</v>
      </c>
    </row>
    <row r="53" spans="1:6" x14ac:dyDescent="0.3">
      <c r="A53" s="10" t="s">
        <v>138</v>
      </c>
      <c r="B53" s="11" t="s">
        <v>139</v>
      </c>
      <c r="C53" s="12"/>
      <c r="D53" s="13" t="s">
        <v>129</v>
      </c>
      <c r="E53" s="14">
        <f>COUNTIF(D6:D45,"&lt;50")</f>
        <v>6</v>
      </c>
      <c r="F53" s="15">
        <f>COUNTIF(D6:D45,"&lt;50")</f>
        <v>6</v>
      </c>
    </row>
  </sheetData>
  <mergeCells count="4">
    <mergeCell ref="A3:L3"/>
    <mergeCell ref="A2:L2"/>
    <mergeCell ref="A48:J48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workbookViewId="0">
      <pane ySplit="5" topLeftCell="A6" activePane="bottomLeft" state="frozen"/>
      <selection pane="bottomLeft" activeCell="D6" sqref="D6:G25"/>
    </sheetView>
  </sheetViews>
  <sheetFormatPr defaultRowHeight="14.4" x14ac:dyDescent="0.3"/>
  <cols>
    <col min="1" max="1" width="5" customWidth="1"/>
    <col min="2" max="2" width="13" customWidth="1"/>
    <col min="3" max="3" width="30" customWidth="1"/>
    <col min="4" max="6" width="10" customWidth="1"/>
    <col min="7" max="7" width="8" customWidth="1"/>
    <col min="8" max="10" width="25" customWidth="1"/>
    <col min="11" max="11" width="15" customWidth="1"/>
    <col min="12" max="12" width="30" customWidth="1"/>
    <col min="13" max="13" width="10" customWidth="1"/>
  </cols>
  <sheetData>
    <row r="1" spans="1:14" ht="25.95" customHeight="1" x14ac:dyDescent="0.3">
      <c r="A1" s="26" t="s">
        <v>140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3.95" customHeight="1" x14ac:dyDescent="0.3">
      <c r="A2" s="29" t="s">
        <v>141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05" customHeight="1" x14ac:dyDescent="0.3">
      <c r="A3" s="28" t="s">
        <v>142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5" spans="1:14" ht="19.95" customHeight="1" x14ac:dyDescent="0.3">
      <c r="A5" s="1" t="s">
        <v>143</v>
      </c>
      <c r="B5" s="1" t="s">
        <v>3</v>
      </c>
      <c r="C5" s="1" t="s">
        <v>144</v>
      </c>
      <c r="D5" s="1" t="s">
        <v>145</v>
      </c>
      <c r="E5" s="1" t="s">
        <v>146</v>
      </c>
      <c r="F5" s="1" t="s">
        <v>147</v>
      </c>
      <c r="G5" s="1" t="s">
        <v>148</v>
      </c>
      <c r="H5" s="1" t="s">
        <v>149</v>
      </c>
      <c r="I5" s="1" t="s">
        <v>150</v>
      </c>
      <c r="J5" s="1" t="s">
        <v>151</v>
      </c>
      <c r="K5" s="1" t="s">
        <v>152</v>
      </c>
      <c r="L5" s="1" t="s">
        <v>153</v>
      </c>
      <c r="M5" s="1" t="s">
        <v>154</v>
      </c>
    </row>
    <row r="6" spans="1:14" x14ac:dyDescent="0.3">
      <c r="A6" s="2">
        <v>1</v>
      </c>
      <c r="B6" s="4" t="s">
        <v>16</v>
      </c>
      <c r="C6" s="4" t="s">
        <v>50</v>
      </c>
      <c r="D6" s="22"/>
      <c r="E6" s="22"/>
      <c r="F6" s="22"/>
      <c r="G6" s="22"/>
      <c r="H6" s="23"/>
      <c r="I6" s="23"/>
      <c r="J6" s="23"/>
      <c r="K6" s="23"/>
      <c r="L6" s="23" t="str">
        <f>_xlfn.CONCAT(B6," - ",C6)</f>
        <v>NT2411001 - Muhammad Irfan bin Mohd Zaidi</v>
      </c>
      <c r="M6" s="22">
        <f t="shared" ref="M6:M25" si="0">LEN(C6)</f>
        <v>29</v>
      </c>
    </row>
    <row r="7" spans="1:14" x14ac:dyDescent="0.3">
      <c r="A7" s="3">
        <v>2</v>
      </c>
      <c r="B7" s="6" t="s">
        <v>17</v>
      </c>
      <c r="C7" s="6" t="s">
        <v>52</v>
      </c>
      <c r="D7" s="24"/>
      <c r="E7" s="24"/>
      <c r="F7" s="24"/>
      <c r="G7" s="24"/>
      <c r="H7" s="25"/>
      <c r="I7" s="25"/>
      <c r="J7" s="25"/>
      <c r="K7" s="25"/>
      <c r="L7" s="25"/>
      <c r="M7" s="24">
        <f t="shared" si="0"/>
        <v>27</v>
      </c>
    </row>
    <row r="8" spans="1:14" x14ac:dyDescent="0.3">
      <c r="A8" s="2">
        <v>3</v>
      </c>
      <c r="B8" s="4" t="s">
        <v>18</v>
      </c>
      <c r="C8" s="4" t="s">
        <v>53</v>
      </c>
      <c r="D8" s="22"/>
      <c r="E8" s="22"/>
      <c r="F8" s="22"/>
      <c r="G8" s="22"/>
      <c r="H8" s="23"/>
      <c r="I8" s="23"/>
      <c r="J8" s="23"/>
      <c r="K8" s="23"/>
      <c r="L8" s="23"/>
      <c r="M8" s="22">
        <f t="shared" si="0"/>
        <v>25</v>
      </c>
    </row>
    <row r="9" spans="1:14" x14ac:dyDescent="0.3">
      <c r="A9" s="3">
        <v>4</v>
      </c>
      <c r="B9" s="6" t="s">
        <v>19</v>
      </c>
      <c r="C9" s="6" t="s">
        <v>54</v>
      </c>
      <c r="D9" s="24"/>
      <c r="E9" s="24"/>
      <c r="F9" s="24"/>
      <c r="G9" s="24"/>
      <c r="H9" s="25"/>
      <c r="I9" s="25"/>
      <c r="J9" s="25"/>
      <c r="K9" s="25"/>
      <c r="L9" s="25"/>
      <c r="M9" s="24">
        <f t="shared" si="0"/>
        <v>23</v>
      </c>
    </row>
    <row r="10" spans="1:14" x14ac:dyDescent="0.3">
      <c r="A10" s="2">
        <v>5</v>
      </c>
      <c r="B10" s="4" t="s">
        <v>20</v>
      </c>
      <c r="C10" s="4" t="s">
        <v>55</v>
      </c>
      <c r="D10" s="22"/>
      <c r="E10" s="22"/>
      <c r="F10" s="22"/>
      <c r="G10" s="22"/>
      <c r="H10" s="23"/>
      <c r="I10" s="23"/>
      <c r="J10" s="23"/>
      <c r="K10" s="23"/>
      <c r="L10" s="23"/>
      <c r="M10" s="22">
        <f t="shared" si="0"/>
        <v>24</v>
      </c>
    </row>
    <row r="11" spans="1:14" x14ac:dyDescent="0.3">
      <c r="A11" s="3">
        <v>6</v>
      </c>
      <c r="B11" s="6" t="s">
        <v>21</v>
      </c>
      <c r="C11" s="6" t="s">
        <v>56</v>
      </c>
      <c r="D11" s="24"/>
      <c r="E11" s="24"/>
      <c r="F11" s="24"/>
      <c r="G11" s="24"/>
      <c r="H11" s="25"/>
      <c r="I11" s="25"/>
      <c r="J11" s="25"/>
      <c r="K11" s="25"/>
      <c r="L11" s="25"/>
      <c r="M11" s="24">
        <f t="shared" si="0"/>
        <v>26</v>
      </c>
    </row>
    <row r="12" spans="1:14" x14ac:dyDescent="0.3">
      <c r="A12" s="2">
        <v>7</v>
      </c>
      <c r="B12" s="4" t="s">
        <v>22</v>
      </c>
      <c r="C12" s="4" t="s">
        <v>57</v>
      </c>
      <c r="D12" s="22"/>
      <c r="E12" s="22"/>
      <c r="F12" s="22"/>
      <c r="G12" s="22"/>
      <c r="H12" s="23"/>
      <c r="I12" s="23"/>
      <c r="J12" s="23"/>
      <c r="K12" s="23"/>
      <c r="L12" s="23"/>
      <c r="M12" s="22">
        <f t="shared" si="0"/>
        <v>22</v>
      </c>
    </row>
    <row r="13" spans="1:14" x14ac:dyDescent="0.3">
      <c r="A13" s="3">
        <v>8</v>
      </c>
      <c r="B13" s="6" t="s">
        <v>23</v>
      </c>
      <c r="C13" s="6" t="s">
        <v>58</v>
      </c>
      <c r="D13" s="24"/>
      <c r="E13" s="24"/>
      <c r="F13" s="24"/>
      <c r="G13" s="24"/>
      <c r="H13" s="25"/>
      <c r="I13" s="25"/>
      <c r="J13" s="25"/>
      <c r="K13" s="25"/>
      <c r="L13" s="25"/>
      <c r="M13" s="24">
        <f t="shared" si="0"/>
        <v>27</v>
      </c>
    </row>
    <row r="14" spans="1:14" x14ac:dyDescent="0.3">
      <c r="A14" s="2">
        <v>9</v>
      </c>
      <c r="B14" s="4" t="s">
        <v>24</v>
      </c>
      <c r="C14" s="4" t="s">
        <v>59</v>
      </c>
      <c r="D14" s="22"/>
      <c r="E14" s="22"/>
      <c r="F14" s="22"/>
      <c r="G14" s="22"/>
      <c r="H14" s="23"/>
      <c r="I14" s="23"/>
      <c r="J14" s="23"/>
      <c r="K14" s="23"/>
      <c r="L14" s="23"/>
      <c r="M14" s="22">
        <f t="shared" si="0"/>
        <v>22</v>
      </c>
    </row>
    <row r="15" spans="1:14" x14ac:dyDescent="0.3">
      <c r="A15" s="3">
        <v>10</v>
      </c>
      <c r="B15" s="6" t="s">
        <v>25</v>
      </c>
      <c r="C15" s="6" t="s">
        <v>60</v>
      </c>
      <c r="D15" s="24"/>
      <c r="E15" s="24"/>
      <c r="F15" s="24"/>
      <c r="G15" s="24"/>
      <c r="H15" s="25"/>
      <c r="I15" s="25"/>
      <c r="J15" s="25"/>
      <c r="K15" s="25"/>
      <c r="L15" s="25"/>
      <c r="M15" s="24">
        <f t="shared" si="0"/>
        <v>31</v>
      </c>
    </row>
    <row r="16" spans="1:14" x14ac:dyDescent="0.3">
      <c r="A16" s="2">
        <v>11</v>
      </c>
      <c r="B16" s="4" t="s">
        <v>26</v>
      </c>
      <c r="C16" s="4" t="s">
        <v>61</v>
      </c>
      <c r="D16" s="22"/>
      <c r="E16" s="22"/>
      <c r="F16" s="22"/>
      <c r="G16" s="22"/>
      <c r="H16" s="23"/>
      <c r="I16" s="23"/>
      <c r="J16" s="23"/>
      <c r="K16" s="23"/>
      <c r="L16" s="23"/>
      <c r="M16" s="22">
        <f t="shared" si="0"/>
        <v>26</v>
      </c>
    </row>
    <row r="17" spans="1:13" x14ac:dyDescent="0.3">
      <c r="A17" s="3">
        <v>12</v>
      </c>
      <c r="B17" s="6" t="s">
        <v>27</v>
      </c>
      <c r="C17" s="6" t="s">
        <v>62</v>
      </c>
      <c r="D17" s="24"/>
      <c r="E17" s="24"/>
      <c r="F17" s="24"/>
      <c r="G17" s="24"/>
      <c r="H17" s="25"/>
      <c r="I17" s="25"/>
      <c r="J17" s="25"/>
      <c r="K17" s="25"/>
      <c r="L17" s="25"/>
      <c r="M17" s="24">
        <f t="shared" si="0"/>
        <v>30</v>
      </c>
    </row>
    <row r="18" spans="1:13" x14ac:dyDescent="0.3">
      <c r="A18" s="2">
        <v>13</v>
      </c>
      <c r="B18" s="4" t="s">
        <v>28</v>
      </c>
      <c r="C18" s="4" t="s">
        <v>63</v>
      </c>
      <c r="D18" s="22"/>
      <c r="E18" s="22"/>
      <c r="F18" s="22"/>
      <c r="G18" s="22"/>
      <c r="H18" s="23"/>
      <c r="I18" s="23"/>
      <c r="J18" s="23"/>
      <c r="K18" s="23"/>
      <c r="L18" s="23"/>
      <c r="M18" s="22">
        <f t="shared" si="0"/>
        <v>26</v>
      </c>
    </row>
    <row r="19" spans="1:13" x14ac:dyDescent="0.3">
      <c r="A19" s="3">
        <v>14</v>
      </c>
      <c r="B19" s="6" t="s">
        <v>29</v>
      </c>
      <c r="C19" s="6" t="s">
        <v>64</v>
      </c>
      <c r="D19" s="24"/>
      <c r="E19" s="24"/>
      <c r="F19" s="24"/>
      <c r="G19" s="24"/>
      <c r="H19" s="25"/>
      <c r="I19" s="25"/>
      <c r="J19" s="25"/>
      <c r="K19" s="25"/>
      <c r="L19" s="25"/>
      <c r="M19" s="24">
        <f t="shared" si="0"/>
        <v>25</v>
      </c>
    </row>
    <row r="20" spans="1:13" x14ac:dyDescent="0.3">
      <c r="A20" s="2">
        <v>15</v>
      </c>
      <c r="B20" s="4" t="s">
        <v>30</v>
      </c>
      <c r="C20" s="4" t="s">
        <v>65</v>
      </c>
      <c r="D20" s="22"/>
      <c r="E20" s="22"/>
      <c r="F20" s="22"/>
      <c r="G20" s="22"/>
      <c r="H20" s="23"/>
      <c r="I20" s="23"/>
      <c r="J20" s="23"/>
      <c r="K20" s="23"/>
      <c r="L20" s="23"/>
      <c r="M20" s="22">
        <f t="shared" si="0"/>
        <v>22</v>
      </c>
    </row>
    <row r="21" spans="1:13" x14ac:dyDescent="0.3">
      <c r="A21" s="3">
        <v>16</v>
      </c>
      <c r="B21" s="6" t="s">
        <v>31</v>
      </c>
      <c r="C21" s="6" t="s">
        <v>66</v>
      </c>
      <c r="D21" s="24"/>
      <c r="E21" s="24"/>
      <c r="F21" s="24"/>
      <c r="G21" s="24"/>
      <c r="H21" s="25"/>
      <c r="I21" s="25"/>
      <c r="J21" s="25"/>
      <c r="K21" s="25"/>
      <c r="L21" s="25"/>
      <c r="M21" s="24">
        <f t="shared" si="0"/>
        <v>31</v>
      </c>
    </row>
    <row r="22" spans="1:13" x14ac:dyDescent="0.3">
      <c r="A22" s="2">
        <v>17</v>
      </c>
      <c r="B22" s="4" t="s">
        <v>32</v>
      </c>
      <c r="C22" s="4" t="s">
        <v>67</v>
      </c>
      <c r="D22" s="22"/>
      <c r="E22" s="22"/>
      <c r="F22" s="22"/>
      <c r="G22" s="22"/>
      <c r="H22" s="23"/>
      <c r="I22" s="23"/>
      <c r="J22" s="23"/>
      <c r="K22" s="23"/>
      <c r="L22" s="23"/>
      <c r="M22" s="22">
        <f t="shared" si="0"/>
        <v>22</v>
      </c>
    </row>
    <row r="23" spans="1:13" x14ac:dyDescent="0.3">
      <c r="A23" s="3">
        <v>18</v>
      </c>
      <c r="B23" s="6" t="s">
        <v>33</v>
      </c>
      <c r="C23" s="6" t="s">
        <v>68</v>
      </c>
      <c r="D23" s="24"/>
      <c r="E23" s="24"/>
      <c r="F23" s="24"/>
      <c r="G23" s="24"/>
      <c r="H23" s="25"/>
      <c r="I23" s="25"/>
      <c r="J23" s="25"/>
      <c r="K23" s="25"/>
      <c r="L23" s="25"/>
      <c r="M23" s="24">
        <f t="shared" si="0"/>
        <v>29</v>
      </c>
    </row>
    <row r="24" spans="1:13" x14ac:dyDescent="0.3">
      <c r="A24" s="2">
        <v>19</v>
      </c>
      <c r="B24" s="4" t="s">
        <v>34</v>
      </c>
      <c r="C24" s="4" t="s">
        <v>69</v>
      </c>
      <c r="D24" s="22"/>
      <c r="E24" s="22"/>
      <c r="F24" s="22"/>
      <c r="G24" s="22"/>
      <c r="H24" s="23"/>
      <c r="I24" s="23"/>
      <c r="J24" s="23"/>
      <c r="K24" s="23"/>
      <c r="L24" s="23"/>
      <c r="M24" s="22">
        <f t="shared" si="0"/>
        <v>22</v>
      </c>
    </row>
    <row r="25" spans="1:13" x14ac:dyDescent="0.3">
      <c r="A25" s="3">
        <v>20</v>
      </c>
      <c r="B25" s="6" t="s">
        <v>35</v>
      </c>
      <c r="C25" s="6" t="s">
        <v>70</v>
      </c>
      <c r="D25" s="24"/>
      <c r="E25" s="24"/>
      <c r="F25" s="24"/>
      <c r="G25" s="24"/>
      <c r="H25" s="25"/>
      <c r="I25" s="25"/>
      <c r="J25" s="25"/>
      <c r="K25" s="25"/>
      <c r="L25" s="25"/>
      <c r="M25" s="24">
        <f t="shared" si="0"/>
        <v>28</v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tabSelected="1" workbookViewId="0">
      <pane ySplit="5" topLeftCell="A6" activePane="bottomLeft" state="frozen"/>
      <selection pane="bottomLeft" activeCell="I7" sqref="I7"/>
    </sheetView>
  </sheetViews>
  <sheetFormatPr defaultRowHeight="14.4" x14ac:dyDescent="0.3"/>
  <cols>
    <col min="1" max="1" width="13" customWidth="1"/>
    <col min="2" max="2" width="28" customWidth="1"/>
    <col min="3" max="3" width="14" customWidth="1"/>
    <col min="4" max="4" width="16" customWidth="1"/>
    <col min="5" max="5" width="14" customWidth="1"/>
    <col min="6" max="8" width="8" customWidth="1"/>
    <col min="9" max="9" width="16" customWidth="1"/>
    <col min="10" max="10" width="18" customWidth="1"/>
  </cols>
  <sheetData>
    <row r="1" spans="1:10" ht="25.95" customHeight="1" x14ac:dyDescent="0.3">
      <c r="A1" s="26" t="s">
        <v>155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3.95" customHeight="1" x14ac:dyDescent="0.3">
      <c r="A2" s="29" t="s">
        <v>156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6.05" customHeight="1" x14ac:dyDescent="0.3">
      <c r="A3" s="28" t="s">
        <v>157</v>
      </c>
      <c r="B3" s="27"/>
      <c r="C3" s="27"/>
      <c r="D3" s="27"/>
      <c r="E3" s="27"/>
      <c r="F3" s="27"/>
      <c r="G3" s="27"/>
      <c r="H3" s="27"/>
      <c r="I3" s="27"/>
      <c r="J3" s="27"/>
    </row>
    <row r="5" spans="1:10" ht="19.95" customHeight="1" x14ac:dyDescent="0.3">
      <c r="A5" s="1" t="s">
        <v>3</v>
      </c>
      <c r="B5" s="1" t="s">
        <v>39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162</v>
      </c>
      <c r="H5" s="1" t="s">
        <v>163</v>
      </c>
      <c r="I5" s="1" t="s">
        <v>164</v>
      </c>
      <c r="J5" s="1" t="s">
        <v>165</v>
      </c>
    </row>
    <row r="6" spans="1:10" x14ac:dyDescent="0.3">
      <c r="A6" s="2" t="s">
        <v>16</v>
      </c>
      <c r="B6" s="4" t="s">
        <v>50</v>
      </c>
      <c r="C6" s="2" t="s">
        <v>166</v>
      </c>
      <c r="D6" s="34" t="s">
        <v>167</v>
      </c>
      <c r="E6" s="2" t="str">
        <f ca="1">DATEDIF(DATE(YEAR(TODAY())-16,MONTH(C6),DAY(C6)),TODAY(),"Y")&amp;" tahun "&amp;DATEDIF(DATE(YEAR(TODAY())-16,MONTH(C6),DAY(C6)),TODAY(),"YM")&amp;" bulan"</f>
        <v>16 tahun 1 bulan</v>
      </c>
      <c r="F6" s="2">
        <f t="shared" ref="F6:F25" ca="1" si="0">YEAR(TODAY())</f>
        <v>2026</v>
      </c>
      <c r="G6" s="2">
        <f ca="1">MONTH(TODAY())</f>
        <v>5</v>
      </c>
      <c r="H6" s="2">
        <f ca="1">DAY(TODAY())</f>
        <v>4</v>
      </c>
      <c r="I6" s="2">
        <f ca="1">DATE(2025,11,3)-TODAY()</f>
        <v>-182</v>
      </c>
      <c r="J6" s="35">
        <f ca="1">TODAY()-D6</f>
        <v>848</v>
      </c>
    </row>
    <row r="7" spans="1:10" x14ac:dyDescent="0.3">
      <c r="A7" s="3" t="s">
        <v>17</v>
      </c>
      <c r="B7" s="6" t="s">
        <v>52</v>
      </c>
      <c r="C7" s="3" t="s">
        <v>168</v>
      </c>
      <c r="D7" s="33" t="s">
        <v>167</v>
      </c>
      <c r="E7" s="3"/>
      <c r="F7" s="3">
        <f t="shared" ca="1" si="0"/>
        <v>2026</v>
      </c>
      <c r="G7" s="3"/>
      <c r="H7" s="3"/>
      <c r="I7" s="3"/>
      <c r="J7" s="35"/>
    </row>
    <row r="8" spans="1:10" x14ac:dyDescent="0.3">
      <c r="A8" s="2" t="s">
        <v>18</v>
      </c>
      <c r="B8" s="4" t="s">
        <v>53</v>
      </c>
      <c r="C8" s="2" t="s">
        <v>169</v>
      </c>
      <c r="D8" s="34">
        <v>45319</v>
      </c>
      <c r="E8" s="2"/>
      <c r="F8" s="2">
        <f t="shared" ca="1" si="0"/>
        <v>2026</v>
      </c>
      <c r="G8" s="2"/>
      <c r="H8" s="2"/>
      <c r="I8" s="2"/>
      <c r="J8" s="35"/>
    </row>
    <row r="9" spans="1:10" x14ac:dyDescent="0.3">
      <c r="A9" s="3" t="s">
        <v>19</v>
      </c>
      <c r="B9" s="6" t="s">
        <v>54</v>
      </c>
      <c r="C9" s="3" t="s">
        <v>170</v>
      </c>
      <c r="D9" s="33" t="s">
        <v>167</v>
      </c>
      <c r="E9" s="3"/>
      <c r="F9" s="3">
        <f t="shared" ca="1" si="0"/>
        <v>2026</v>
      </c>
      <c r="G9" s="3"/>
      <c r="H9" s="3"/>
      <c r="I9" s="3"/>
      <c r="J9" s="35"/>
    </row>
    <row r="10" spans="1:10" x14ac:dyDescent="0.3">
      <c r="A10" s="2" t="s">
        <v>20</v>
      </c>
      <c r="B10" s="4" t="s">
        <v>55</v>
      </c>
      <c r="C10" s="2" t="s">
        <v>171</v>
      </c>
      <c r="D10" s="34" t="s">
        <v>167</v>
      </c>
      <c r="E10" s="2"/>
      <c r="F10" s="2">
        <f t="shared" ca="1" si="0"/>
        <v>2026</v>
      </c>
      <c r="G10" s="2"/>
      <c r="H10" s="2"/>
      <c r="I10" s="2"/>
      <c r="J10" s="35"/>
    </row>
    <row r="11" spans="1:10" x14ac:dyDescent="0.3">
      <c r="A11" s="3" t="s">
        <v>21</v>
      </c>
      <c r="B11" s="6" t="s">
        <v>56</v>
      </c>
      <c r="C11" s="3" t="s">
        <v>172</v>
      </c>
      <c r="D11" s="33">
        <v>45335</v>
      </c>
      <c r="E11" s="3"/>
      <c r="F11" s="3">
        <f t="shared" ca="1" si="0"/>
        <v>2026</v>
      </c>
      <c r="G11" s="3"/>
      <c r="H11" s="3"/>
      <c r="I11" s="3"/>
      <c r="J11" s="35"/>
    </row>
    <row r="12" spans="1:10" x14ac:dyDescent="0.3">
      <c r="A12" s="2" t="s">
        <v>22</v>
      </c>
      <c r="B12" s="4" t="s">
        <v>57</v>
      </c>
      <c r="C12" s="2" t="s">
        <v>173</v>
      </c>
      <c r="D12" s="34" t="s">
        <v>167</v>
      </c>
      <c r="E12" s="2"/>
      <c r="F12" s="2">
        <f t="shared" ca="1" si="0"/>
        <v>2026</v>
      </c>
      <c r="G12" s="2"/>
      <c r="H12" s="2"/>
      <c r="I12" s="2"/>
      <c r="J12" s="35"/>
    </row>
    <row r="13" spans="1:10" x14ac:dyDescent="0.3">
      <c r="A13" s="3" t="s">
        <v>23</v>
      </c>
      <c r="B13" s="6" t="s">
        <v>58</v>
      </c>
      <c r="C13" s="3" t="s">
        <v>174</v>
      </c>
      <c r="D13" s="33" t="s">
        <v>167</v>
      </c>
      <c r="E13" s="3"/>
      <c r="F13" s="3">
        <f t="shared" ca="1" si="0"/>
        <v>2026</v>
      </c>
      <c r="G13" s="3"/>
      <c r="H13" s="3"/>
      <c r="I13" s="3"/>
      <c r="J13" s="35"/>
    </row>
    <row r="14" spans="1:10" x14ac:dyDescent="0.3">
      <c r="A14" s="2" t="s">
        <v>24</v>
      </c>
      <c r="B14" s="4" t="s">
        <v>59</v>
      </c>
      <c r="C14" s="2" t="s">
        <v>175</v>
      </c>
      <c r="D14" s="34" t="s">
        <v>167</v>
      </c>
      <c r="E14" s="2"/>
      <c r="F14" s="2">
        <f t="shared" ca="1" si="0"/>
        <v>2026</v>
      </c>
      <c r="G14" s="2"/>
      <c r="H14" s="2"/>
      <c r="I14" s="2"/>
      <c r="J14" s="35"/>
    </row>
    <row r="15" spans="1:10" x14ac:dyDescent="0.3">
      <c r="A15" s="3" t="s">
        <v>25</v>
      </c>
      <c r="B15" s="6" t="s">
        <v>60</v>
      </c>
      <c r="C15" s="3" t="s">
        <v>176</v>
      </c>
      <c r="D15" s="33" t="s">
        <v>167</v>
      </c>
      <c r="E15" s="3"/>
      <c r="F15" s="3">
        <f t="shared" ca="1" si="0"/>
        <v>2026</v>
      </c>
      <c r="G15" s="3"/>
      <c r="H15" s="3"/>
      <c r="I15" s="3"/>
      <c r="J15" s="35"/>
    </row>
    <row r="16" spans="1:10" x14ac:dyDescent="0.3">
      <c r="A16" s="2" t="s">
        <v>26</v>
      </c>
      <c r="B16" s="4" t="s">
        <v>61</v>
      </c>
      <c r="C16" s="2" t="s">
        <v>177</v>
      </c>
      <c r="D16" s="34">
        <v>45302</v>
      </c>
      <c r="E16" s="2"/>
      <c r="F16" s="2">
        <f t="shared" ca="1" si="0"/>
        <v>2026</v>
      </c>
      <c r="G16" s="2"/>
      <c r="H16" s="2"/>
      <c r="I16" s="2"/>
      <c r="J16" s="35"/>
    </row>
    <row r="17" spans="1:10" x14ac:dyDescent="0.3">
      <c r="A17" s="3" t="s">
        <v>27</v>
      </c>
      <c r="B17" s="6" t="s">
        <v>62</v>
      </c>
      <c r="C17" s="3" t="s">
        <v>178</v>
      </c>
      <c r="D17" s="33" t="s">
        <v>167</v>
      </c>
      <c r="E17" s="3"/>
      <c r="F17" s="3">
        <f t="shared" ca="1" si="0"/>
        <v>2026</v>
      </c>
      <c r="G17" s="3"/>
      <c r="H17" s="3"/>
      <c r="I17" s="3"/>
      <c r="J17" s="35"/>
    </row>
    <row r="18" spans="1:10" x14ac:dyDescent="0.3">
      <c r="A18" s="2" t="s">
        <v>28</v>
      </c>
      <c r="B18" s="4" t="s">
        <v>63</v>
      </c>
      <c r="C18" s="2" t="s">
        <v>179</v>
      </c>
      <c r="D18" s="34" t="s">
        <v>167</v>
      </c>
      <c r="E18" s="2"/>
      <c r="F18" s="2">
        <f t="shared" ca="1" si="0"/>
        <v>2026</v>
      </c>
      <c r="G18" s="2"/>
      <c r="H18" s="2"/>
      <c r="I18" s="2"/>
      <c r="J18" s="35"/>
    </row>
    <row r="19" spans="1:10" x14ac:dyDescent="0.3">
      <c r="A19" s="3" t="s">
        <v>29</v>
      </c>
      <c r="B19" s="6" t="s">
        <v>64</v>
      </c>
      <c r="C19" s="3" t="s">
        <v>180</v>
      </c>
      <c r="D19" s="33" t="s">
        <v>167</v>
      </c>
      <c r="E19" s="3"/>
      <c r="F19" s="3">
        <f t="shared" ca="1" si="0"/>
        <v>2026</v>
      </c>
      <c r="G19" s="3"/>
      <c r="H19" s="3"/>
      <c r="I19" s="3"/>
      <c r="J19" s="35"/>
    </row>
    <row r="20" spans="1:10" x14ac:dyDescent="0.3">
      <c r="A20" s="2" t="s">
        <v>30</v>
      </c>
      <c r="B20" s="4" t="s">
        <v>65</v>
      </c>
      <c r="C20" s="2" t="s">
        <v>181</v>
      </c>
      <c r="D20" s="34" t="s">
        <v>167</v>
      </c>
      <c r="E20" s="2"/>
      <c r="F20" s="2">
        <f t="shared" ca="1" si="0"/>
        <v>2026</v>
      </c>
      <c r="G20" s="2"/>
      <c r="H20" s="2"/>
      <c r="I20" s="2"/>
      <c r="J20" s="35"/>
    </row>
    <row r="21" spans="1:10" x14ac:dyDescent="0.3">
      <c r="A21" s="3" t="s">
        <v>31</v>
      </c>
      <c r="B21" s="6" t="s">
        <v>66</v>
      </c>
      <c r="C21" s="3" t="s">
        <v>182</v>
      </c>
      <c r="D21" s="33" t="s">
        <v>167</v>
      </c>
      <c r="E21" s="3"/>
      <c r="F21" s="3">
        <f t="shared" ca="1" si="0"/>
        <v>2026</v>
      </c>
      <c r="G21" s="3"/>
      <c r="H21" s="3"/>
      <c r="I21" s="3"/>
      <c r="J21" s="35"/>
    </row>
    <row r="22" spans="1:10" x14ac:dyDescent="0.3">
      <c r="A22" s="2" t="s">
        <v>32</v>
      </c>
      <c r="B22" s="4" t="s">
        <v>67</v>
      </c>
      <c r="C22" s="2" t="s">
        <v>183</v>
      </c>
      <c r="D22" s="34" t="s">
        <v>167</v>
      </c>
      <c r="E22" s="2"/>
      <c r="F22" s="2">
        <f t="shared" ca="1" si="0"/>
        <v>2026</v>
      </c>
      <c r="G22" s="2"/>
      <c r="H22" s="2"/>
      <c r="I22" s="2"/>
      <c r="J22" s="35"/>
    </row>
    <row r="23" spans="1:10" x14ac:dyDescent="0.3">
      <c r="A23" s="3" t="s">
        <v>33</v>
      </c>
      <c r="B23" s="6" t="s">
        <v>68</v>
      </c>
      <c r="C23" s="3" t="s">
        <v>184</v>
      </c>
      <c r="D23" s="33" t="s">
        <v>167</v>
      </c>
      <c r="E23" s="3"/>
      <c r="F23" s="3">
        <f t="shared" ca="1" si="0"/>
        <v>2026</v>
      </c>
      <c r="G23" s="3"/>
      <c r="H23" s="3"/>
      <c r="I23" s="3"/>
      <c r="J23" s="35"/>
    </row>
    <row r="24" spans="1:10" x14ac:dyDescent="0.3">
      <c r="A24" s="2" t="s">
        <v>34</v>
      </c>
      <c r="B24" s="4" t="s">
        <v>69</v>
      </c>
      <c r="C24" s="2" t="s">
        <v>185</v>
      </c>
      <c r="D24" s="34" t="s">
        <v>167</v>
      </c>
      <c r="E24" s="2"/>
      <c r="F24" s="2">
        <f t="shared" ca="1" si="0"/>
        <v>2026</v>
      </c>
      <c r="G24" s="2"/>
      <c r="H24" s="2"/>
      <c r="I24" s="2"/>
      <c r="J24" s="35"/>
    </row>
    <row r="25" spans="1:10" x14ac:dyDescent="0.3">
      <c r="A25" s="3" t="s">
        <v>35</v>
      </c>
      <c r="B25" s="6" t="s">
        <v>70</v>
      </c>
      <c r="C25" s="3" t="s">
        <v>181</v>
      </c>
      <c r="D25" s="33" t="s">
        <v>167</v>
      </c>
      <c r="E25" s="3"/>
      <c r="F25" s="3">
        <f t="shared" ca="1" si="0"/>
        <v>2026</v>
      </c>
      <c r="G25" s="3"/>
      <c r="H25" s="3"/>
      <c r="I25" s="3"/>
      <c r="J25" s="35"/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PENGIRAAN ASAS</vt:lpstr>
      <vt:lpstr>FUNGSI ASAS</vt:lpstr>
      <vt:lpstr>FUNGSI IF</vt:lpstr>
      <vt:lpstr>FUNGSI TEKS</vt:lpstr>
      <vt:lpstr>TARIKH &amp; MASA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Hafizah Bahaludin</cp:lastModifiedBy>
  <dcterms:created xsi:type="dcterms:W3CDTF">2026-05-03T22:39:12Z</dcterms:created>
  <dcterms:modified xsi:type="dcterms:W3CDTF">2026-05-04T05:56:06Z</dcterms:modified>
</cp:coreProperties>
</file>